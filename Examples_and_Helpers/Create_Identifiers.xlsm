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hidePivotFieldList="1" defaultThemeVersion="166925"/>
  <mc:AlternateContent xmlns:mc="http://schemas.openxmlformats.org/markup-compatibility/2006">
    <mc:Choice Requires="x15">
      <x15ac:absPath xmlns:x15ac="http://schemas.microsoft.com/office/spreadsheetml/2010/11/ac" url="C:\Users\kraj5\OneDrive - University of Toronto\Research\PhD_UofT\Python\impact\Examples_and_Helpers\"/>
    </mc:Choice>
  </mc:AlternateContent>
  <xr:revisionPtr revIDLastSave="34" documentId="114_{B236BBD6-DA40-42B4-89F1-ED399DC4BF02}" xr6:coauthVersionLast="45" xr6:coauthVersionMax="45" xr10:uidLastSave="{FF78C3CC-16F7-4C0D-A653-F781D42E1DFE}"/>
  <bookViews>
    <workbookView xWindow="-96" yWindow="-96" windowWidth="23232" windowHeight="12552" xr2:uid="{2C0C3B16-2B30-40D5-BCEF-01A6C67502BD}"/>
  </bookViews>
  <sheets>
    <sheet name="Instructions" sheetId="6" r:id="rId1"/>
    <sheet name="StrainList" sheetId="1" r:id="rId2"/>
    <sheet name="MediaList" sheetId="2" r:id="rId3"/>
    <sheet name="Environment" sheetId="3" r:id="rId4"/>
    <sheet name="ReplicatePrep" sheetId="4" r:id="rId5"/>
    <sheet name="identifiers" sheetId="5"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6" i="4" l="1"/>
  <c r="L7" i="4"/>
  <c r="B3" i="4" l="1"/>
  <c r="C3" i="4"/>
  <c r="D3" i="4"/>
  <c r="E3" i="4"/>
  <c r="F3" i="4"/>
  <c r="G3" i="4"/>
  <c r="H3" i="4"/>
  <c r="I3" i="4"/>
  <c r="J3" i="4"/>
  <c r="K3" i="4"/>
  <c r="L3" i="4"/>
  <c r="M3" i="4"/>
  <c r="B4" i="4"/>
  <c r="C4" i="4"/>
  <c r="D4" i="4"/>
  <c r="E4" i="4"/>
  <c r="F4" i="4"/>
  <c r="G4" i="4"/>
  <c r="H4" i="4"/>
  <c r="I4" i="4"/>
  <c r="J4" i="4"/>
  <c r="K4" i="4"/>
  <c r="L4" i="4"/>
  <c r="M4" i="4"/>
  <c r="B5" i="4"/>
  <c r="C5" i="4"/>
  <c r="D5" i="4"/>
  <c r="E5" i="4"/>
  <c r="F5" i="4"/>
  <c r="G5" i="4"/>
  <c r="H5" i="4"/>
  <c r="I5" i="4"/>
  <c r="J5" i="4"/>
  <c r="K5" i="4"/>
  <c r="L5" i="4"/>
  <c r="M5" i="4"/>
  <c r="B6" i="4"/>
  <c r="C6" i="4"/>
  <c r="D6" i="4"/>
  <c r="E6" i="4"/>
  <c r="F6" i="4"/>
  <c r="G6" i="4"/>
  <c r="H6" i="4"/>
  <c r="I6" i="4"/>
  <c r="J6" i="4"/>
  <c r="K6" i="4"/>
  <c r="M6" i="4"/>
  <c r="B7" i="4"/>
  <c r="C7" i="4"/>
  <c r="D7" i="4"/>
  <c r="E7" i="4"/>
  <c r="F7" i="4"/>
  <c r="G7" i="4"/>
  <c r="H7" i="4"/>
  <c r="I7" i="4"/>
  <c r="J7" i="4"/>
  <c r="K7" i="4"/>
  <c r="M7" i="4"/>
  <c r="B8" i="4"/>
  <c r="C8" i="4"/>
  <c r="D8" i="4"/>
  <c r="E8" i="4"/>
  <c r="F8" i="4"/>
  <c r="G8" i="4"/>
  <c r="H8" i="4"/>
  <c r="I8" i="4"/>
  <c r="J8" i="4"/>
  <c r="K8" i="4"/>
  <c r="L8" i="4"/>
  <c r="M8" i="4"/>
  <c r="B9" i="4"/>
  <c r="C9" i="4"/>
  <c r="D9" i="4"/>
  <c r="E9" i="4"/>
  <c r="F9" i="4"/>
  <c r="G9" i="4"/>
  <c r="H9" i="4"/>
  <c r="I9" i="4"/>
  <c r="J9" i="4"/>
  <c r="K9" i="4"/>
  <c r="L9" i="4"/>
  <c r="M9" i="4"/>
  <c r="M2" i="4"/>
  <c r="I3" i="3"/>
  <c r="I4" i="3"/>
  <c r="I5" i="3"/>
  <c r="I6" i="3"/>
  <c r="I7" i="3"/>
  <c r="I8" i="3"/>
  <c r="I9" i="3"/>
  <c r="I10" i="3"/>
  <c r="I11" i="3"/>
  <c r="I12" i="3"/>
  <c r="I13" i="3"/>
  <c r="I2" i="3"/>
  <c r="G3" i="2"/>
  <c r="G4" i="2"/>
  <c r="G5" i="2"/>
  <c r="G6" i="2"/>
  <c r="G7" i="2"/>
  <c r="G8" i="2"/>
  <c r="G9" i="2"/>
  <c r="G10" i="2"/>
  <c r="G11" i="2"/>
  <c r="G12" i="2"/>
  <c r="G13" i="2"/>
  <c r="G2" i="2"/>
  <c r="G3" i="1"/>
  <c r="G4" i="1"/>
  <c r="G5" i="1"/>
  <c r="G6" i="1"/>
  <c r="G7" i="1"/>
  <c r="G8" i="1"/>
  <c r="G9" i="1"/>
  <c r="G10" i="1"/>
  <c r="G11" i="1"/>
  <c r="G12" i="1"/>
  <c r="G13" i="1"/>
  <c r="G2" i="1"/>
  <c r="K13" i="4" l="1"/>
  <c r="K26" i="4" s="1"/>
  <c r="J3" i="5" s="1"/>
  <c r="J14" i="4"/>
  <c r="J27" i="4" s="1"/>
  <c r="I4" i="5" s="1"/>
  <c r="C2" i="4"/>
  <c r="D2" i="4"/>
  <c r="E2" i="4"/>
  <c r="F2" i="4"/>
  <c r="G2" i="4"/>
  <c r="H2" i="4"/>
  <c r="I2" i="4"/>
  <c r="J2" i="4"/>
  <c r="K2" i="4"/>
  <c r="L2" i="4"/>
  <c r="B2" i="4"/>
  <c r="M16" i="4" s="1"/>
  <c r="M29" i="4" s="1"/>
  <c r="L6" i="5" s="1"/>
  <c r="K12" i="4" l="1"/>
  <c r="K25" i="4" s="1"/>
  <c r="J2" i="5" s="1"/>
  <c r="L17" i="4"/>
  <c r="L30" i="4" s="1"/>
  <c r="K7" i="5" s="1"/>
  <c r="L18" i="4"/>
  <c r="L31" i="4" s="1"/>
  <c r="K8" i="5" s="1"/>
  <c r="M11" i="4"/>
  <c r="M24" i="4" s="1"/>
  <c r="L1" i="5" s="1"/>
  <c r="M18" i="4"/>
  <c r="M31" i="4" s="1"/>
  <c r="L8" i="5" s="1"/>
  <c r="J17" i="4"/>
  <c r="J30" i="4" s="1"/>
  <c r="I7" i="5" s="1"/>
  <c r="K16" i="4"/>
  <c r="K29" i="4" s="1"/>
  <c r="J6" i="5" s="1"/>
  <c r="K15" i="4"/>
  <c r="K28" i="4" s="1"/>
  <c r="J5" i="5" s="1"/>
  <c r="K14" i="4"/>
  <c r="K27" i="4" s="1"/>
  <c r="J4" i="5" s="1"/>
  <c r="L13" i="4"/>
  <c r="L26" i="4" s="1"/>
  <c r="K3" i="5" s="1"/>
  <c r="I18" i="4"/>
  <c r="I31" i="4" s="1"/>
  <c r="H8" i="5" s="1"/>
  <c r="M12" i="4"/>
  <c r="M25" i="4" s="1"/>
  <c r="L2" i="5" s="1"/>
  <c r="M15" i="4"/>
  <c r="M28" i="4" s="1"/>
  <c r="L5" i="5" s="1"/>
  <c r="J13" i="4"/>
  <c r="J26" i="4" s="1"/>
  <c r="I3" i="5" s="1"/>
  <c r="J16" i="4"/>
  <c r="J29" i="4" s="1"/>
  <c r="I6" i="5" s="1"/>
  <c r="L12" i="4"/>
  <c r="L25" i="4" s="1"/>
  <c r="K2" i="5" s="1"/>
  <c r="K17" i="4"/>
  <c r="K30" i="4" s="1"/>
  <c r="J7" i="5" s="1"/>
  <c r="I17" i="4"/>
  <c r="I30" i="4" s="1"/>
  <c r="H7" i="5" s="1"/>
  <c r="L15" i="4"/>
  <c r="L28" i="4" s="1"/>
  <c r="K5" i="5" s="1"/>
  <c r="L16" i="4"/>
  <c r="L29" i="4" s="1"/>
  <c r="K6" i="5" s="1"/>
  <c r="M14" i="4"/>
  <c r="M27" i="4" s="1"/>
  <c r="L4" i="5" s="1"/>
  <c r="J15" i="4"/>
  <c r="J28" i="4" s="1"/>
  <c r="I5" i="5" s="1"/>
  <c r="J12" i="4"/>
  <c r="J25" i="4" s="1"/>
  <c r="I2" i="5" s="1"/>
  <c r="L14" i="4"/>
  <c r="L27" i="4" s="1"/>
  <c r="K4" i="5" s="1"/>
  <c r="J18" i="4"/>
  <c r="J31" i="4" s="1"/>
  <c r="I8" i="5" s="1"/>
  <c r="K18" i="4"/>
  <c r="K31" i="4" s="1"/>
  <c r="J8" i="5" s="1"/>
  <c r="M17" i="4"/>
  <c r="M30" i="4" s="1"/>
  <c r="L7" i="5" s="1"/>
  <c r="M13" i="4"/>
  <c r="M26" i="4" s="1"/>
  <c r="L3" i="5" s="1"/>
  <c r="G17" i="4"/>
  <c r="G30" i="4" s="1"/>
  <c r="F7" i="5" s="1"/>
  <c r="E18" i="4"/>
  <c r="E31" i="4" s="1"/>
  <c r="D8" i="5" s="1"/>
  <c r="D18" i="4"/>
  <c r="D31" i="4" s="1"/>
  <c r="C8" i="5" s="1"/>
  <c r="G18" i="4"/>
  <c r="G31" i="4" s="1"/>
  <c r="F8" i="5" s="1"/>
  <c r="F18" i="4"/>
  <c r="F31" i="4" s="1"/>
  <c r="E8" i="5" s="1"/>
  <c r="B18" i="4"/>
  <c r="B31" i="4" s="1"/>
  <c r="A8" i="5" s="1"/>
  <c r="C18" i="4"/>
  <c r="C31" i="4" s="1"/>
  <c r="B8" i="5" s="1"/>
  <c r="D17" i="4"/>
  <c r="D30" i="4" s="1"/>
  <c r="C7" i="5" s="1"/>
  <c r="E17" i="4"/>
  <c r="E30" i="4" s="1"/>
  <c r="D7" i="5" s="1"/>
  <c r="H17" i="4"/>
  <c r="H30" i="4" s="1"/>
  <c r="G7" i="5" s="1"/>
  <c r="F17" i="4"/>
  <c r="F30" i="4" s="1"/>
  <c r="E7" i="5" s="1"/>
  <c r="B17" i="4"/>
  <c r="B30" i="4" s="1"/>
  <c r="A7" i="5" s="1"/>
  <c r="C17" i="4"/>
  <c r="C30" i="4" s="1"/>
  <c r="B7" i="5" s="1"/>
  <c r="H18" i="4"/>
  <c r="H31" i="4" s="1"/>
  <c r="G8" i="5" s="1"/>
  <c r="L11" i="4"/>
  <c r="L24" i="4" s="1"/>
  <c r="K1" i="5" s="1"/>
  <c r="B16" i="4"/>
  <c r="B29" i="4" s="1"/>
  <c r="A6" i="5" s="1"/>
  <c r="B11" i="4"/>
  <c r="B24" i="4" s="1"/>
  <c r="A1" i="5" s="1"/>
  <c r="D11" i="4"/>
  <c r="D24" i="4" s="1"/>
  <c r="C1" i="5" s="1"/>
  <c r="K11" i="4"/>
  <c r="K24" i="4"/>
  <c r="J1" i="5" s="1"/>
  <c r="J11" i="4"/>
  <c r="J24" i="4" s="1"/>
  <c r="I1" i="5" s="1"/>
  <c r="C11" i="4"/>
  <c r="C24" i="4" s="1"/>
  <c r="B1" i="5" s="1"/>
  <c r="I11" i="4"/>
  <c r="I24" i="4" s="1"/>
  <c r="H1" i="5" s="1"/>
  <c r="H11" i="4"/>
  <c r="H24" i="4" s="1"/>
  <c r="G1" i="5" s="1"/>
  <c r="E16" i="4"/>
  <c r="E29" i="4" s="1"/>
  <c r="D6" i="5" s="1"/>
  <c r="C14" i="4"/>
  <c r="C27" i="4" s="1"/>
  <c r="B4" i="5" s="1"/>
  <c r="G16" i="4"/>
  <c r="G29" i="4" s="1"/>
  <c r="F6" i="5" s="1"/>
  <c r="I14" i="4"/>
  <c r="I27" i="4" s="1"/>
  <c r="H4" i="5" s="1"/>
  <c r="G14" i="4"/>
  <c r="G27" i="4" s="1"/>
  <c r="F4" i="5" s="1"/>
  <c r="B12" i="4"/>
  <c r="B25" i="4" s="1"/>
  <c r="A2" i="5" s="1"/>
  <c r="G15" i="4"/>
  <c r="G28" i="4" s="1"/>
  <c r="F5" i="5" s="1"/>
  <c r="I12" i="4"/>
  <c r="I25" i="4" s="1"/>
  <c r="H2" i="5" s="1"/>
  <c r="F12" i="4"/>
  <c r="F25" i="4" s="1"/>
  <c r="E2" i="5" s="1"/>
  <c r="C15" i="4"/>
  <c r="C28" i="4" s="1"/>
  <c r="B5" i="5" s="1"/>
  <c r="D16" i="4"/>
  <c r="D29" i="4" s="1"/>
  <c r="C6" i="5" s="1"/>
  <c r="B13" i="4"/>
  <c r="B26" i="4" s="1"/>
  <c r="A3" i="5" s="1"/>
  <c r="B14" i="4"/>
  <c r="B27" i="4" s="1"/>
  <c r="A4" i="5" s="1"/>
  <c r="I13" i="4"/>
  <c r="I26" i="4" s="1"/>
  <c r="H3" i="5" s="1"/>
  <c r="B15" i="4"/>
  <c r="B28" i="4" s="1"/>
  <c r="A5" i="5" s="1"/>
  <c r="E13" i="4"/>
  <c r="E26" i="4" s="1"/>
  <c r="D3" i="5" s="1"/>
  <c r="G11" i="4"/>
  <c r="G24" i="4" s="1"/>
  <c r="F1" i="5" s="1"/>
  <c r="F15" i="4"/>
  <c r="F28" i="4" s="1"/>
  <c r="E5" i="5" s="1"/>
  <c r="H13" i="4"/>
  <c r="H26" i="4" s="1"/>
  <c r="G3" i="5" s="1"/>
  <c r="E14" i="4"/>
  <c r="E27" i="4" s="1"/>
  <c r="D4" i="5" s="1"/>
  <c r="I16" i="4"/>
  <c r="I29" i="4" s="1"/>
  <c r="H6" i="5" s="1"/>
  <c r="H12" i="4"/>
  <c r="H25" i="4" s="1"/>
  <c r="G2" i="5" s="1"/>
  <c r="F11" i="4"/>
  <c r="F24" i="4" s="1"/>
  <c r="E1" i="5" s="1"/>
  <c r="C16" i="4"/>
  <c r="C29" i="4" s="1"/>
  <c r="B6" i="5" s="1"/>
  <c r="D14" i="4"/>
  <c r="D27" i="4" s="1"/>
  <c r="C4" i="5" s="1"/>
  <c r="I15" i="4"/>
  <c r="I28" i="4" s="1"/>
  <c r="H5" i="5" s="1"/>
  <c r="E15" i="4"/>
  <c r="E28" i="4" s="1"/>
  <c r="D5" i="5" s="1"/>
  <c r="D13" i="4"/>
  <c r="D26" i="4" s="1"/>
  <c r="C3" i="5" s="1"/>
  <c r="G13" i="4"/>
  <c r="G26" i="4" s="1"/>
  <c r="F3" i="5" s="1"/>
  <c r="F13" i="4"/>
  <c r="F26" i="4" s="1"/>
  <c r="E3" i="5" s="1"/>
  <c r="E12" i="4"/>
  <c r="E25" i="4" s="1"/>
  <c r="D2" i="5" s="1"/>
  <c r="H16" i="4"/>
  <c r="H29" i="4" s="1"/>
  <c r="G6" i="5" s="1"/>
  <c r="D12" i="4"/>
  <c r="D25" i="4" s="1"/>
  <c r="C2" i="5" s="1"/>
  <c r="E11" i="4"/>
  <c r="E24" i="4" s="1"/>
  <c r="D1" i="5" s="1"/>
  <c r="C12" i="4"/>
  <c r="C25" i="4" s="1"/>
  <c r="B2" i="5" s="1"/>
  <c r="H15" i="4"/>
  <c r="H28" i="4" s="1"/>
  <c r="G5" i="5" s="1"/>
  <c r="F16" i="4"/>
  <c r="F29" i="4" s="1"/>
  <c r="E6" i="5" s="1"/>
  <c r="G12" i="4"/>
  <c r="G25" i="4" s="1"/>
  <c r="F2" i="5" s="1"/>
  <c r="H14" i="4"/>
  <c r="H27" i="4" s="1"/>
  <c r="G4" i="5" s="1"/>
  <c r="F14" i="4"/>
  <c r="F27" i="4" s="1"/>
  <c r="E4" i="5" s="1"/>
  <c r="C13" i="4"/>
  <c r="C26" i="4" s="1"/>
  <c r="B3" i="5" s="1"/>
  <c r="D15" i="4"/>
  <c r="D28" i="4" s="1"/>
  <c r="C5" i="5" s="1"/>
</calcChain>
</file>

<file path=xl/sharedStrings.xml><?xml version="1.0" encoding="utf-8"?>
<sst xmlns="http://schemas.openxmlformats.org/spreadsheetml/2006/main" count="82" uniqueCount="36">
  <si>
    <t>S.No.</t>
  </si>
  <si>
    <t>Strain Name</t>
  </si>
  <si>
    <t>Knockouts</t>
  </si>
  <si>
    <t>Plasmids</t>
  </si>
  <si>
    <t>Parent</t>
  </si>
  <si>
    <t>G</t>
  </si>
  <si>
    <t>Location</t>
  </si>
  <si>
    <t>identifier</t>
  </si>
  <si>
    <t>A</t>
  </si>
  <si>
    <t>B</t>
  </si>
  <si>
    <t>C</t>
  </si>
  <si>
    <t>D</t>
  </si>
  <si>
    <t>E</t>
  </si>
  <si>
    <t>F</t>
  </si>
  <si>
    <t>H</t>
  </si>
  <si>
    <t>Media Base</t>
  </si>
  <si>
    <t>Component 1</t>
  </si>
  <si>
    <t>Component 2</t>
  </si>
  <si>
    <t>Component 3</t>
  </si>
  <si>
    <t>Labware</t>
  </si>
  <si>
    <t>Shaking Speed</t>
  </si>
  <si>
    <t>Shaking Diameter</t>
  </si>
  <si>
    <t>Temperature</t>
  </si>
  <si>
    <t>pH</t>
  </si>
  <si>
    <t>DO</t>
  </si>
  <si>
    <t>This document contains instructions that will assist in preparing identifiers to parse platereader data using the IMPACT framework.</t>
  </si>
  <si>
    <t>Fill details about all strains in the experiment in the worksheet titled "StrainList". The fields that are not relevant to the current experiment may be left blank.</t>
  </si>
  <si>
    <t>After filling details about a strain, indicate what wells in the plate contained that strain by clicking on the "Add" button and selecting the appropriate wells indicated in the grey table.</t>
  </si>
  <si>
    <t>Instructions:</t>
  </si>
  <si>
    <t>Repeat the above steps in the worksheets titled "MediaList" and "Environment"</t>
  </si>
  <si>
    <t>The identifiers will be available in the "identifiers" worksheet. Copy these and paste them on the raw data file in a new sheet titled "worksheet" and use IMPACT to parse the data</t>
  </si>
  <si>
    <t>Use the same table to fill data for 24 and 48 well plates too. If you made an error, use the Clear Cells option to delete identifiers or simply add the correct identifiers using the "Add" button</t>
  </si>
  <si>
    <t>COMPLETE IDENTIFIERS</t>
  </si>
  <si>
    <t>FOR BLANK WELLS: add the strain name as "blank"</t>
  </si>
  <si>
    <t>For the parser to identify the worksheets correctly, include the raw data in a worksheet titled "data" and the identifiers in a worksheet titled "identifiers".</t>
  </si>
  <si>
    <t>Use the file "Generic platereader starter" to load the final excel workbook with the data and identifiers.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</si>
</sst>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b/>
      <sz val="24"/>
      <color theme="1"/>
      <name val="Calibri"/>
      <family val="2"/>
      <scheme val="minor"/>
    </font>
    <font>
      <sz val="11"/>
      <name val="Calibri"/>
      <family val="2"/>
      <scheme val="minor"/>
    </font>
  </fonts>
  <fills count="5">
    <fill>
      <patternFill patternType="none"/>
    </fill>
    <fill>
      <patternFill patternType="gray125"/>
    </fill>
    <fill>
      <patternFill patternType="solid">
        <fgColor theme="9" tint="0.59999389629810485"/>
        <bgColor indexed="64"/>
      </patternFill>
    </fill>
    <fill>
      <patternFill patternType="solid">
        <fgColor rgb="FFBFBFBF"/>
        <bgColor indexed="64"/>
      </patternFill>
    </fill>
    <fill>
      <patternFill patternType="solid">
        <fgColor theme="9"/>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xf numFmtId="0" fontId="2" fillId="2" borderId="2" xfId="0" applyFont="1" applyFill="1" applyBorder="1"/>
    <xf numFmtId="1" fontId="0" fillId="0" borderId="0" xfId="1" applyNumberFormat="1" applyFont="1"/>
    <xf numFmtId="0" fontId="0" fillId="0" borderId="0" xfId="0" quotePrefix="1"/>
    <xf numFmtId="0" fontId="2" fillId="0" borderId="0" xfId="0" applyFont="1"/>
    <xf numFmtId="0" fontId="0" fillId="3" borderId="1" xfId="0" applyFont="1" applyFill="1" applyBorder="1" applyAlignment="1" applyProtection="1">
      <alignment wrapText="1"/>
      <protection locked="0"/>
    </xf>
    <xf numFmtId="0" fontId="0" fillId="3" borderId="1" xfId="0" applyFill="1" applyBorder="1" applyAlignment="1" applyProtection="1">
      <alignment wrapText="1"/>
      <protection locked="0"/>
    </xf>
    <xf numFmtId="0" fontId="4" fillId="0" borderId="0" xfId="0" applyFont="1"/>
    <xf numFmtId="0" fontId="0" fillId="0" borderId="0" xfId="0" applyProtection="1">
      <protection locked="0"/>
    </xf>
    <xf numFmtId="0" fontId="0" fillId="0" borderId="0" xfId="0" applyFill="1"/>
    <xf numFmtId="0" fontId="5" fillId="4" borderId="1" xfId="0" applyFont="1" applyFill="1" applyBorder="1"/>
    <xf numFmtId="0" fontId="5" fillId="4" borderId="3" xfId="0" applyFont="1" applyFill="1" applyBorder="1"/>
    <xf numFmtId="0" fontId="5" fillId="0" borderId="0" xfId="0" applyFont="1" applyFill="1" applyBorder="1"/>
  </cellXfs>
  <cellStyles count="2">
    <cellStyle name="Normal" xfId="0" builtinId="0"/>
    <cellStyle name="Percent" xfId="1" builtinId="5"/>
  </cellStyles>
  <dxfs count="0"/>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628650</xdr:colOff>
          <xdr:row>2</xdr:row>
          <xdr:rowOff>7620</xdr:rowOff>
        </xdr:from>
        <xdr:to>
          <xdr:col>6</xdr:col>
          <xdr:colOff>11430</xdr:colOff>
          <xdr:row>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3</xdr:row>
          <xdr:rowOff>0</xdr:rowOff>
        </xdr:from>
        <xdr:to>
          <xdr:col>6</xdr:col>
          <xdr:colOff>7620</xdr:colOff>
          <xdr:row>3</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4</xdr:row>
          <xdr:rowOff>0</xdr:rowOff>
        </xdr:from>
        <xdr:to>
          <xdr:col>6</xdr:col>
          <xdr:colOff>11430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5</xdr:row>
          <xdr:rowOff>0</xdr:rowOff>
        </xdr:from>
        <xdr:to>
          <xdr:col>6</xdr:col>
          <xdr:colOff>7620</xdr:colOff>
          <xdr:row>5</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6</xdr:row>
          <xdr:rowOff>0</xdr:rowOff>
        </xdr:from>
        <xdr:to>
          <xdr:col>6</xdr:col>
          <xdr:colOff>11430</xdr:colOff>
          <xdr:row>6</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7</xdr:row>
          <xdr:rowOff>0</xdr:rowOff>
        </xdr:from>
        <xdr:to>
          <xdr:col>6</xdr:col>
          <xdr:colOff>7620</xdr:colOff>
          <xdr:row>7</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8</xdr:row>
          <xdr:rowOff>0</xdr:rowOff>
        </xdr:from>
        <xdr:to>
          <xdr:col>6</xdr:col>
          <xdr:colOff>11430</xdr:colOff>
          <xdr:row>8</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9</xdr:row>
          <xdr:rowOff>0</xdr:rowOff>
        </xdr:from>
        <xdr:to>
          <xdr:col>6</xdr:col>
          <xdr:colOff>7620</xdr:colOff>
          <xdr:row>9</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10</xdr:row>
          <xdr:rowOff>0</xdr:rowOff>
        </xdr:from>
        <xdr:to>
          <xdr:col>6</xdr:col>
          <xdr:colOff>11430</xdr:colOff>
          <xdr:row>10</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11</xdr:row>
          <xdr:rowOff>11430</xdr:rowOff>
        </xdr:from>
        <xdr:to>
          <xdr:col>6</xdr:col>
          <xdr:colOff>7620</xdr:colOff>
          <xdr:row>12</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11</xdr:row>
          <xdr:rowOff>179070</xdr:rowOff>
        </xdr:from>
        <xdr:to>
          <xdr:col>6</xdr:col>
          <xdr:colOff>11430</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xdr:row>
          <xdr:rowOff>11430</xdr:rowOff>
        </xdr:from>
        <xdr:to>
          <xdr:col>6</xdr:col>
          <xdr:colOff>7620</xdr:colOff>
          <xdr:row>2</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xdr:colOff>
          <xdr:row>2</xdr:row>
          <xdr:rowOff>11430</xdr:rowOff>
        </xdr:from>
        <xdr:to>
          <xdr:col>6</xdr:col>
          <xdr:colOff>11430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0</xdr:rowOff>
        </xdr:from>
        <xdr:to>
          <xdr:col>6</xdr:col>
          <xdr:colOff>11430</xdr:colOff>
          <xdr:row>3</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0</xdr:rowOff>
        </xdr:from>
        <xdr:to>
          <xdr:col>6</xdr:col>
          <xdr:colOff>11430</xdr:colOff>
          <xdr:row>4</xdr:row>
          <xdr:rowOff>171450</xdr:rowOff>
        </xdr:to>
        <xdr:sp macro="" textlink="">
          <xdr:nvSpPr>
            <xdr:cNvPr id="2051" name="Button 7"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179070</xdr:rowOff>
        </xdr:from>
        <xdr:to>
          <xdr:col>6</xdr:col>
          <xdr:colOff>11430</xdr:colOff>
          <xdr:row>5</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0</xdr:rowOff>
        </xdr:from>
        <xdr:to>
          <xdr:col>6</xdr:col>
          <xdr:colOff>11430</xdr:colOff>
          <xdr:row>6</xdr:row>
          <xdr:rowOff>171450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0</xdr:rowOff>
        </xdr:from>
        <xdr:to>
          <xdr:col>6</xdr:col>
          <xdr:colOff>11430</xdr:colOff>
          <xdr:row>7</xdr:row>
          <xdr:rowOff>171450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0</xdr:rowOff>
        </xdr:from>
        <xdr:to>
          <xdr:col>6</xdr:col>
          <xdr:colOff>11430</xdr:colOff>
          <xdr:row>8</xdr:row>
          <xdr:rowOff>171450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0</xdr:rowOff>
        </xdr:from>
        <xdr:to>
          <xdr:col>6</xdr:col>
          <xdr:colOff>11430</xdr:colOff>
          <xdr:row>9</xdr:row>
          <xdr:rowOff>171450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0</xdr:rowOff>
        </xdr:from>
        <xdr:to>
          <xdr:col>6</xdr:col>
          <xdr:colOff>11430</xdr:colOff>
          <xdr:row>10</xdr:row>
          <xdr:rowOff>171450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11430</xdr:rowOff>
        </xdr:from>
        <xdr:to>
          <xdr:col>6</xdr:col>
          <xdr:colOff>11430</xdr:colOff>
          <xdr:row>11</xdr:row>
          <xdr:rowOff>179070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12</xdr:row>
          <xdr:rowOff>0</xdr:rowOff>
        </xdr:from>
        <xdr:to>
          <xdr:col>6</xdr:col>
          <xdr:colOff>11430</xdr:colOff>
          <xdr:row>12</xdr:row>
          <xdr:rowOff>171450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xdr:row>
          <xdr:rowOff>7620</xdr:rowOff>
        </xdr:from>
        <xdr:to>
          <xdr:col>6</xdr:col>
          <xdr:colOff>7620</xdr:colOff>
          <xdr:row>2</xdr:row>
          <xdr:rowOff>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200-00001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200-00001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182880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200-00001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182880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200-00001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200-00001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200-00001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200-00001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200-00002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182880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182880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200-00002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200-00002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200-00002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200-00002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200-00002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200-00002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200-00002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200-00002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200-00002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200-00002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12</xdr:row>
          <xdr:rowOff>7620</xdr:rowOff>
        </xdr:from>
        <xdr:to>
          <xdr:col>6</xdr:col>
          <xdr:colOff>7620</xdr:colOff>
          <xdr:row>13</xdr:row>
          <xdr:rowOff>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200-00002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xdr:colOff>
          <xdr:row>2</xdr:row>
          <xdr:rowOff>11430</xdr:rowOff>
        </xdr:from>
        <xdr:to>
          <xdr:col>8</xdr:col>
          <xdr:colOff>11430</xdr:colOff>
          <xdr:row>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0</xdr:rowOff>
        </xdr:from>
        <xdr:to>
          <xdr:col>8</xdr:col>
          <xdr:colOff>11430</xdr:colOff>
          <xdr:row>3</xdr:row>
          <xdr:rowOff>171450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0</xdr:rowOff>
        </xdr:from>
        <xdr:to>
          <xdr:col>8</xdr:col>
          <xdr:colOff>11430</xdr:colOff>
          <xdr:row>4</xdr:row>
          <xdr:rowOff>171450</xdr:rowOff>
        </xdr:to>
        <xdr:sp macro="" textlink="">
          <xdr:nvSpPr>
            <xdr:cNvPr id="3075" name="Button 7"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179070</xdr:rowOff>
        </xdr:from>
        <xdr:to>
          <xdr:col>8</xdr:col>
          <xdr:colOff>11430</xdr:colOff>
          <xdr:row>5</xdr:row>
          <xdr:rowOff>171450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0</xdr:rowOff>
        </xdr:from>
        <xdr:to>
          <xdr:col>8</xdr:col>
          <xdr:colOff>11430</xdr:colOff>
          <xdr:row>6</xdr:row>
          <xdr:rowOff>171450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0</xdr:rowOff>
        </xdr:from>
        <xdr:to>
          <xdr:col>8</xdr:col>
          <xdr:colOff>11430</xdr:colOff>
          <xdr:row>7</xdr:row>
          <xdr:rowOff>171450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0</xdr:rowOff>
        </xdr:from>
        <xdr:to>
          <xdr:col>8</xdr:col>
          <xdr:colOff>11430</xdr:colOff>
          <xdr:row>8</xdr:row>
          <xdr:rowOff>171450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0</xdr:rowOff>
        </xdr:from>
        <xdr:to>
          <xdr:col>8</xdr:col>
          <xdr:colOff>11430</xdr:colOff>
          <xdr:row>9</xdr:row>
          <xdr:rowOff>171450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0</xdr:rowOff>
        </xdr:from>
        <xdr:to>
          <xdr:col>8</xdr:col>
          <xdr:colOff>11430</xdr:colOff>
          <xdr:row>10</xdr:row>
          <xdr:rowOff>171450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11430</xdr:rowOff>
        </xdr:from>
        <xdr:to>
          <xdr:col>8</xdr:col>
          <xdr:colOff>11430</xdr:colOff>
          <xdr:row>11</xdr:row>
          <xdr:rowOff>179070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0</xdr:rowOff>
        </xdr:from>
        <xdr:to>
          <xdr:col>8</xdr:col>
          <xdr:colOff>11430</xdr:colOff>
          <xdr:row>12</xdr:row>
          <xdr:rowOff>171450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xdr:row>
          <xdr:rowOff>7620</xdr:rowOff>
        </xdr:from>
        <xdr:to>
          <xdr:col>8</xdr:col>
          <xdr:colOff>7620</xdr:colOff>
          <xdr:row>2</xdr:row>
          <xdr:rowOff>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300-00002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300-00002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300-00002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300-00002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300-00002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300-00002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18" name="Button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119" name="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120" name="Button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23" name="Butto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24" name="Button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25" name="Button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26" name="Button 54" hidden="1">
              <a:extLst>
                <a:ext uri="{63B3BB69-23CF-44E3-9099-C40C66FF867C}">
                  <a14:compatExt spid="_x0000_s3126"/>
                </a:ext>
                <a:ext uri="{FF2B5EF4-FFF2-40B4-BE49-F238E27FC236}">
                  <a16:creationId xmlns:a16="http://schemas.microsoft.com/office/drawing/2014/main" id="{00000000-0008-0000-0300-00003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9" Type="http://schemas.openxmlformats.org/officeDocument/2006/relationships/ctrlProp" Target="../ctrlProps/ctrlProp50.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7" Type="http://schemas.openxmlformats.org/officeDocument/2006/relationships/ctrlProp" Target="../ctrlProps/ctrlProp18.xml"/><Relationship Id="rId2" Type="http://schemas.openxmlformats.org/officeDocument/2006/relationships/vmlDrawing" Target="../drawings/vmlDrawing2.vml"/><Relationship Id="rId16" Type="http://schemas.openxmlformats.org/officeDocument/2006/relationships/ctrlProp" Target="../ctrlProps/ctrlProp27.xml"/><Relationship Id="rId29" Type="http://schemas.openxmlformats.org/officeDocument/2006/relationships/ctrlProp" Target="../ctrlProps/ctrlProp40.xml"/><Relationship Id="rId1" Type="http://schemas.openxmlformats.org/officeDocument/2006/relationships/drawing" Target="../drawings/drawing2.xml"/><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10" Type="http://schemas.openxmlformats.org/officeDocument/2006/relationships/ctrlProp" Target="../ctrlProps/ctrlProp21.xml"/><Relationship Id="rId19" Type="http://schemas.openxmlformats.org/officeDocument/2006/relationships/ctrlProp" Target="../ctrlProps/ctrlProp30.xml"/><Relationship Id="rId31" Type="http://schemas.openxmlformats.org/officeDocument/2006/relationships/ctrlProp" Target="../ctrlProps/ctrlProp42.xml"/><Relationship Id="rId44" Type="http://schemas.openxmlformats.org/officeDocument/2006/relationships/ctrlProp" Target="../ctrlProps/ctrlProp55.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8" Type="http://schemas.openxmlformats.org/officeDocument/2006/relationships/ctrlProp" Target="../ctrlProps/ctrlProp19.xml"/><Relationship Id="rId3" Type="http://schemas.openxmlformats.org/officeDocument/2006/relationships/ctrlProp" Target="../ctrlProps/ctrlProp14.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20" Type="http://schemas.openxmlformats.org/officeDocument/2006/relationships/ctrlProp" Target="../ctrlProps/ctrlProp31.xml"/><Relationship Id="rId41" Type="http://schemas.openxmlformats.org/officeDocument/2006/relationships/ctrlProp" Target="../ctrlProps/ctrlProp52.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9" Type="http://schemas.openxmlformats.org/officeDocument/2006/relationships/ctrlProp" Target="../ctrlProps/ctrlProp94.xml"/><Relationship Id="rId21" Type="http://schemas.openxmlformats.org/officeDocument/2006/relationships/ctrlProp" Target="../ctrlProps/ctrlProp76.xml"/><Relationship Id="rId34" Type="http://schemas.openxmlformats.org/officeDocument/2006/relationships/ctrlProp" Target="../ctrlProps/ctrlProp89.xml"/><Relationship Id="rId42" Type="http://schemas.openxmlformats.org/officeDocument/2006/relationships/ctrlProp" Target="../ctrlProps/ctrlProp97.xml"/><Relationship Id="rId47" Type="http://schemas.openxmlformats.org/officeDocument/2006/relationships/ctrlProp" Target="../ctrlProps/ctrlProp102.xml"/><Relationship Id="rId50" Type="http://schemas.openxmlformats.org/officeDocument/2006/relationships/ctrlProp" Target="../ctrlProps/ctrlProp105.xml"/><Relationship Id="rId55" Type="http://schemas.openxmlformats.org/officeDocument/2006/relationships/ctrlProp" Target="../ctrlProps/ctrlProp110.xml"/><Relationship Id="rId7" Type="http://schemas.openxmlformats.org/officeDocument/2006/relationships/ctrlProp" Target="../ctrlProps/ctrlProp62.xml"/><Relationship Id="rId2" Type="http://schemas.openxmlformats.org/officeDocument/2006/relationships/vmlDrawing" Target="../drawings/vmlDrawing3.vml"/><Relationship Id="rId16" Type="http://schemas.openxmlformats.org/officeDocument/2006/relationships/ctrlProp" Target="../ctrlProps/ctrlProp71.xml"/><Relationship Id="rId29" Type="http://schemas.openxmlformats.org/officeDocument/2006/relationships/ctrlProp" Target="../ctrlProps/ctrlProp84.xml"/><Relationship Id="rId11" Type="http://schemas.openxmlformats.org/officeDocument/2006/relationships/ctrlProp" Target="../ctrlProps/ctrlProp66.xml"/><Relationship Id="rId24" Type="http://schemas.openxmlformats.org/officeDocument/2006/relationships/ctrlProp" Target="../ctrlProps/ctrlProp79.xml"/><Relationship Id="rId32" Type="http://schemas.openxmlformats.org/officeDocument/2006/relationships/ctrlProp" Target="../ctrlProps/ctrlProp87.xml"/><Relationship Id="rId37" Type="http://schemas.openxmlformats.org/officeDocument/2006/relationships/ctrlProp" Target="../ctrlProps/ctrlProp92.xml"/><Relationship Id="rId40" Type="http://schemas.openxmlformats.org/officeDocument/2006/relationships/ctrlProp" Target="../ctrlProps/ctrlProp95.xml"/><Relationship Id="rId45" Type="http://schemas.openxmlformats.org/officeDocument/2006/relationships/ctrlProp" Target="../ctrlProps/ctrlProp100.xml"/><Relationship Id="rId53" Type="http://schemas.openxmlformats.org/officeDocument/2006/relationships/ctrlProp" Target="../ctrlProps/ctrlProp108.xml"/><Relationship Id="rId58" Type="http://schemas.openxmlformats.org/officeDocument/2006/relationships/ctrlProp" Target="../ctrlProps/ctrlProp113.xml"/><Relationship Id="rId5" Type="http://schemas.openxmlformats.org/officeDocument/2006/relationships/ctrlProp" Target="../ctrlProps/ctrlProp60.xml"/><Relationship Id="rId19" Type="http://schemas.openxmlformats.org/officeDocument/2006/relationships/ctrlProp" Target="../ctrlProps/ctrlProp74.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35" Type="http://schemas.openxmlformats.org/officeDocument/2006/relationships/ctrlProp" Target="../ctrlProps/ctrlProp90.xml"/><Relationship Id="rId43" Type="http://schemas.openxmlformats.org/officeDocument/2006/relationships/ctrlProp" Target="../ctrlProps/ctrlProp98.xml"/><Relationship Id="rId48" Type="http://schemas.openxmlformats.org/officeDocument/2006/relationships/ctrlProp" Target="../ctrlProps/ctrlProp103.xml"/><Relationship Id="rId56" Type="http://schemas.openxmlformats.org/officeDocument/2006/relationships/ctrlProp" Target="../ctrlProps/ctrlProp111.xml"/><Relationship Id="rId8" Type="http://schemas.openxmlformats.org/officeDocument/2006/relationships/ctrlProp" Target="../ctrlProps/ctrlProp63.xml"/><Relationship Id="rId51" Type="http://schemas.openxmlformats.org/officeDocument/2006/relationships/ctrlProp" Target="../ctrlProps/ctrlProp106.xml"/><Relationship Id="rId3" Type="http://schemas.openxmlformats.org/officeDocument/2006/relationships/ctrlProp" Target="../ctrlProps/ctrlProp58.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38" Type="http://schemas.openxmlformats.org/officeDocument/2006/relationships/ctrlProp" Target="../ctrlProps/ctrlProp93.xml"/><Relationship Id="rId46" Type="http://schemas.openxmlformats.org/officeDocument/2006/relationships/ctrlProp" Target="../ctrlProps/ctrlProp101.xml"/><Relationship Id="rId59" Type="http://schemas.openxmlformats.org/officeDocument/2006/relationships/ctrlProp" Target="../ctrlProps/ctrlProp114.xml"/><Relationship Id="rId20" Type="http://schemas.openxmlformats.org/officeDocument/2006/relationships/ctrlProp" Target="../ctrlProps/ctrlProp75.xml"/><Relationship Id="rId41" Type="http://schemas.openxmlformats.org/officeDocument/2006/relationships/ctrlProp" Target="../ctrlProps/ctrlProp96.xml"/><Relationship Id="rId54" Type="http://schemas.openxmlformats.org/officeDocument/2006/relationships/ctrlProp" Target="../ctrlProps/ctrlProp109.xml"/><Relationship Id="rId1" Type="http://schemas.openxmlformats.org/officeDocument/2006/relationships/drawing" Target="../drawings/drawing3.xml"/><Relationship Id="rId6" Type="http://schemas.openxmlformats.org/officeDocument/2006/relationships/ctrlProp" Target="../ctrlProps/ctrlProp61.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36" Type="http://schemas.openxmlformats.org/officeDocument/2006/relationships/ctrlProp" Target="../ctrlProps/ctrlProp91.xml"/><Relationship Id="rId49" Type="http://schemas.openxmlformats.org/officeDocument/2006/relationships/ctrlProp" Target="../ctrlProps/ctrlProp104.xml"/><Relationship Id="rId57" Type="http://schemas.openxmlformats.org/officeDocument/2006/relationships/ctrlProp" Target="../ctrlProps/ctrlProp112.xml"/><Relationship Id="rId10" Type="http://schemas.openxmlformats.org/officeDocument/2006/relationships/ctrlProp" Target="../ctrlProps/ctrlProp65.xml"/><Relationship Id="rId31" Type="http://schemas.openxmlformats.org/officeDocument/2006/relationships/ctrlProp" Target="../ctrlProps/ctrlProp86.xml"/><Relationship Id="rId44" Type="http://schemas.openxmlformats.org/officeDocument/2006/relationships/ctrlProp" Target="../ctrlProps/ctrlProp99.xml"/><Relationship Id="rId52" Type="http://schemas.openxmlformats.org/officeDocument/2006/relationships/ctrlProp" Target="../ctrlProps/ctrlProp10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017D0-2230-4FB0-9658-1D82DBDAB94B}">
  <sheetPr codeName="Sheet6"/>
  <dimension ref="A1:A18"/>
  <sheetViews>
    <sheetView tabSelected="1" workbookViewId="0">
      <selection activeCell="I17" sqref="I17"/>
    </sheetView>
  </sheetViews>
  <sheetFormatPr defaultRowHeight="14.4" x14ac:dyDescent="0.55000000000000004"/>
  <sheetData>
    <row r="1" spans="1:1" x14ac:dyDescent="0.55000000000000004">
      <c r="A1" s="5" t="s">
        <v>25</v>
      </c>
    </row>
    <row r="3" spans="1:1" x14ac:dyDescent="0.55000000000000004">
      <c r="A3" s="5" t="s">
        <v>28</v>
      </c>
    </row>
    <row r="4" spans="1:1" x14ac:dyDescent="0.55000000000000004">
      <c r="A4" t="s">
        <v>26</v>
      </c>
    </row>
    <row r="6" spans="1:1" x14ac:dyDescent="0.55000000000000004">
      <c r="A6" t="s">
        <v>33</v>
      </c>
    </row>
    <row r="8" spans="1:1" x14ac:dyDescent="0.55000000000000004">
      <c r="A8" t="s">
        <v>27</v>
      </c>
    </row>
    <row r="10" spans="1:1" x14ac:dyDescent="0.55000000000000004">
      <c r="A10" t="s">
        <v>31</v>
      </c>
    </row>
    <row r="12" spans="1:1" x14ac:dyDescent="0.55000000000000004">
      <c r="A12" t="s">
        <v>29</v>
      </c>
    </row>
    <row r="14" spans="1:1" x14ac:dyDescent="0.55000000000000004">
      <c r="A14" t="s">
        <v>30</v>
      </c>
    </row>
    <row r="16" spans="1:1" x14ac:dyDescent="0.55000000000000004">
      <c r="A16" t="s">
        <v>34</v>
      </c>
    </row>
    <row r="18" spans="1:1" x14ac:dyDescent="0.55000000000000004">
      <c r="A18" t="s">
        <v>35</v>
      </c>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134C-AC90-41EC-92B9-90075745CF51}">
  <sheetPr codeName="Sheet1"/>
  <dimension ref="A1:O46"/>
  <sheetViews>
    <sheetView workbookViewId="0">
      <selection activeCell="M18" sqref="M18"/>
    </sheetView>
  </sheetViews>
  <sheetFormatPr defaultRowHeight="14.4" x14ac:dyDescent="0.55000000000000004"/>
  <cols>
    <col min="2" max="2" width="11.3671875" customWidth="1"/>
    <col min="3" max="3" width="9.26171875" customWidth="1"/>
    <col min="4" max="4" width="10.41796875" customWidth="1"/>
  </cols>
  <sheetData>
    <row r="1" spans="1:13" x14ac:dyDescent="0.55000000000000004">
      <c r="A1" s="1" t="s">
        <v>0</v>
      </c>
      <c r="B1" s="1" t="s">
        <v>1</v>
      </c>
      <c r="C1" s="1" t="s">
        <v>2</v>
      </c>
      <c r="D1" s="1" t="s">
        <v>3</v>
      </c>
      <c r="E1" s="1" t="s">
        <v>4</v>
      </c>
      <c r="F1" s="1" t="s">
        <v>6</v>
      </c>
      <c r="G1" s="2" t="s">
        <v>7</v>
      </c>
    </row>
    <row r="2" spans="1:13" x14ac:dyDescent="0.55000000000000004">
      <c r="A2" s="3">
        <v>1</v>
      </c>
      <c r="B2" s="9"/>
      <c r="C2" s="9"/>
      <c r="D2" s="9"/>
      <c r="E2" s="9"/>
      <c r="G2" s="4" t="str">
        <f>IF(NOT(ISBLANK(B2)),"strain:"&amp;B2,"")&amp;IF(NOT(ISBLANK(C2)),"|strain__ko:"&amp;C2,"")&amp;IF(NOT(ISBLANK(D2)),"|strain__plasmid:"&amp;D2,"")&amp;IF(NOT(ISBLANK(E2)),"|strain__parent:"&amp;E2,"")</f>
        <v/>
      </c>
    </row>
    <row r="3" spans="1:13" x14ac:dyDescent="0.55000000000000004">
      <c r="A3" s="3">
        <v>2</v>
      </c>
      <c r="B3" s="9"/>
      <c r="C3" s="9"/>
      <c r="D3" s="9"/>
      <c r="E3" s="9"/>
      <c r="G3" s="4" t="str">
        <f t="shared" ref="G3:G13" si="0">IF(NOT(ISBLANK(B3)),"strain:"&amp;B3,"")&amp;IF(NOT(ISBLANK(C3)),"|strain__ko:"&amp;C3,"")&amp;IF(NOT(ISBLANK(D3)),"|strain__plasmid:"&amp;D3,"")&amp;IF(NOT(ISBLANK(E3)),"|strain__parent:"&amp;E3,"")</f>
        <v/>
      </c>
    </row>
    <row r="4" spans="1:13" x14ac:dyDescent="0.55000000000000004">
      <c r="A4" s="3">
        <v>3</v>
      </c>
      <c r="B4" s="9"/>
      <c r="C4" s="9"/>
      <c r="D4" s="9"/>
      <c r="E4" s="9"/>
      <c r="G4" s="4" t="str">
        <f t="shared" si="0"/>
        <v/>
      </c>
    </row>
    <row r="5" spans="1:13" x14ac:dyDescent="0.55000000000000004">
      <c r="A5" s="3">
        <v>4</v>
      </c>
      <c r="B5" s="9"/>
      <c r="C5" s="9"/>
      <c r="D5" s="9"/>
      <c r="E5" s="9"/>
      <c r="G5" s="4" t="str">
        <f t="shared" si="0"/>
        <v/>
      </c>
    </row>
    <row r="6" spans="1:13" x14ac:dyDescent="0.55000000000000004">
      <c r="A6" s="3">
        <v>5</v>
      </c>
      <c r="B6" s="9"/>
      <c r="C6" s="9"/>
      <c r="D6" s="9"/>
      <c r="E6" s="9"/>
      <c r="G6" s="4" t="str">
        <f t="shared" si="0"/>
        <v/>
      </c>
    </row>
    <row r="7" spans="1:13" x14ac:dyDescent="0.55000000000000004">
      <c r="A7" s="3">
        <v>6</v>
      </c>
      <c r="B7" s="9"/>
      <c r="C7" s="9"/>
      <c r="D7" s="9"/>
      <c r="E7" s="9"/>
      <c r="G7" s="4" t="str">
        <f t="shared" si="0"/>
        <v/>
      </c>
    </row>
    <row r="8" spans="1:13" x14ac:dyDescent="0.55000000000000004">
      <c r="A8" s="3">
        <v>7</v>
      </c>
      <c r="B8" s="9"/>
      <c r="C8" s="9"/>
      <c r="D8" s="9"/>
      <c r="E8" s="9"/>
      <c r="G8" s="4" t="str">
        <f t="shared" si="0"/>
        <v/>
      </c>
    </row>
    <row r="9" spans="1:13" x14ac:dyDescent="0.55000000000000004">
      <c r="A9" s="3">
        <v>8</v>
      </c>
      <c r="B9" s="9"/>
      <c r="C9" s="9"/>
      <c r="D9" s="9"/>
      <c r="E9" s="9"/>
      <c r="G9" s="4" t="str">
        <f t="shared" si="0"/>
        <v/>
      </c>
    </row>
    <row r="10" spans="1:13" x14ac:dyDescent="0.55000000000000004">
      <c r="A10" s="3">
        <v>9</v>
      </c>
      <c r="B10" s="9"/>
      <c r="C10" s="9"/>
      <c r="D10" s="9"/>
      <c r="E10" s="9"/>
      <c r="G10" s="4" t="str">
        <f t="shared" si="0"/>
        <v/>
      </c>
    </row>
    <row r="11" spans="1:13" x14ac:dyDescent="0.55000000000000004">
      <c r="A11" s="3">
        <v>10</v>
      </c>
      <c r="B11" s="9"/>
      <c r="C11" s="9"/>
      <c r="D11" s="9"/>
      <c r="E11" s="9"/>
      <c r="G11" s="4" t="str">
        <f t="shared" si="0"/>
        <v/>
      </c>
    </row>
    <row r="12" spans="1:13" x14ac:dyDescent="0.55000000000000004">
      <c r="A12" s="3">
        <v>11</v>
      </c>
      <c r="B12" s="9"/>
      <c r="C12" s="9"/>
      <c r="D12" s="9"/>
      <c r="E12" s="9"/>
      <c r="G12" s="4" t="str">
        <f t="shared" si="0"/>
        <v/>
      </c>
    </row>
    <row r="13" spans="1:13" x14ac:dyDescent="0.55000000000000004">
      <c r="A13" s="3">
        <v>12</v>
      </c>
      <c r="B13" s="9"/>
      <c r="C13" s="9"/>
      <c r="D13" s="9"/>
      <c r="E13" s="9"/>
      <c r="G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5" ht="14.4" customHeight="1" x14ac:dyDescent="0.55000000000000004">
      <c r="A17" t="s">
        <v>8</v>
      </c>
      <c r="B17" s="6"/>
      <c r="C17" s="6"/>
      <c r="D17" s="6"/>
      <c r="E17" s="6"/>
      <c r="F17" s="7"/>
      <c r="G17" s="7"/>
      <c r="H17" s="7"/>
      <c r="I17" s="7"/>
      <c r="J17" s="7"/>
      <c r="K17" s="7"/>
      <c r="L17" s="7"/>
      <c r="M17" s="7"/>
      <c r="N17" s="10"/>
      <c r="O17" s="10"/>
    </row>
    <row r="18" spans="1:15" ht="14.4" customHeight="1" x14ac:dyDescent="0.55000000000000004">
      <c r="A18" t="s">
        <v>9</v>
      </c>
      <c r="B18" s="6"/>
      <c r="C18" s="7"/>
      <c r="D18" s="7"/>
      <c r="E18" s="7"/>
      <c r="F18" s="7"/>
      <c r="G18" s="7"/>
      <c r="H18" s="7"/>
      <c r="I18" s="7"/>
      <c r="J18" s="7"/>
      <c r="K18" s="7"/>
      <c r="L18" s="7"/>
      <c r="M18" s="7"/>
      <c r="N18" s="10"/>
      <c r="O18" s="10"/>
    </row>
    <row r="19" spans="1:15" ht="14.4" customHeight="1" x14ac:dyDescent="0.55000000000000004">
      <c r="A19" t="s">
        <v>10</v>
      </c>
      <c r="B19" s="6"/>
      <c r="C19" s="7"/>
      <c r="D19" s="7"/>
      <c r="E19" s="7"/>
      <c r="F19" s="7"/>
      <c r="G19" s="7"/>
      <c r="H19" s="7"/>
      <c r="I19" s="7"/>
      <c r="J19" s="7"/>
      <c r="K19" s="7"/>
      <c r="L19" s="7"/>
      <c r="M19" s="7"/>
      <c r="N19" s="10"/>
      <c r="O19" s="10"/>
    </row>
    <row r="20" spans="1:15" ht="14.4" customHeight="1" x14ac:dyDescent="0.55000000000000004">
      <c r="A20" t="s">
        <v>11</v>
      </c>
      <c r="B20" s="6"/>
      <c r="C20" s="7"/>
      <c r="D20" s="7"/>
      <c r="E20" s="7"/>
      <c r="F20" s="7"/>
      <c r="G20" s="7"/>
      <c r="H20" s="7"/>
      <c r="I20" s="7"/>
      <c r="J20" s="7"/>
      <c r="K20" s="7"/>
      <c r="L20" s="7"/>
      <c r="M20" s="7"/>
      <c r="N20" s="10"/>
      <c r="O20" s="10"/>
    </row>
    <row r="21" spans="1:15" ht="14.4" customHeight="1" x14ac:dyDescent="0.55000000000000004">
      <c r="A21" t="s">
        <v>12</v>
      </c>
      <c r="B21" s="7"/>
      <c r="C21" s="7"/>
      <c r="D21" s="7"/>
      <c r="E21" s="7"/>
      <c r="F21" s="7"/>
      <c r="G21" s="7"/>
      <c r="H21" s="6"/>
      <c r="I21" s="6"/>
      <c r="J21" s="6"/>
      <c r="K21" s="6"/>
      <c r="L21" s="7"/>
      <c r="M21" s="7"/>
      <c r="N21" s="10"/>
      <c r="O21" s="10"/>
    </row>
    <row r="22" spans="1:15" ht="14.4" customHeight="1" x14ac:dyDescent="0.55000000000000004">
      <c r="A22" t="s">
        <v>13</v>
      </c>
      <c r="B22" s="7"/>
      <c r="C22" s="7"/>
      <c r="D22" s="7"/>
      <c r="E22" s="7"/>
      <c r="F22" s="7"/>
      <c r="G22" s="7"/>
      <c r="H22" s="6"/>
      <c r="I22" s="6"/>
      <c r="J22" s="6"/>
      <c r="K22" s="6"/>
      <c r="L22" s="7"/>
      <c r="M22" s="7"/>
      <c r="N22" s="10"/>
      <c r="O22" s="10"/>
    </row>
    <row r="23" spans="1:15" ht="14.4" customHeight="1" x14ac:dyDescent="0.55000000000000004">
      <c r="A23" t="s">
        <v>5</v>
      </c>
      <c r="B23" s="7"/>
      <c r="C23" s="7"/>
      <c r="D23" s="7"/>
      <c r="E23" s="7"/>
      <c r="F23" s="7"/>
      <c r="G23" s="7"/>
      <c r="H23" s="7"/>
      <c r="I23" s="6"/>
      <c r="J23" s="6"/>
      <c r="K23" s="7"/>
      <c r="L23" s="7"/>
      <c r="M23" s="7"/>
      <c r="N23" s="10"/>
      <c r="O23" s="10"/>
    </row>
    <row r="24" spans="1:15" ht="14.4" customHeight="1" x14ac:dyDescent="0.55000000000000004">
      <c r="A24" t="s">
        <v>14</v>
      </c>
      <c r="B24" s="7"/>
      <c r="C24" s="7"/>
      <c r="D24" s="7"/>
      <c r="E24" s="7"/>
      <c r="F24" s="7"/>
      <c r="G24" s="7"/>
      <c r="H24" s="7"/>
      <c r="I24" s="6"/>
      <c r="J24" s="6"/>
      <c r="K24" s="7"/>
      <c r="L24" s="7"/>
      <c r="M24" s="7"/>
      <c r="N24" s="10"/>
      <c r="O24" s="10"/>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formatCells="0"/>
  <protectedRanges>
    <protectedRange sqref="B17:M24" name="StrainIdentifiers"/>
    <protectedRange sqref="B2:E13" name="StrainRange"/>
  </protectedRange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_Strain_2">
                <anchor moveWithCells="1" sizeWithCells="1">
                  <from>
                    <xdr:col>4</xdr:col>
                    <xdr:colOff>628650</xdr:colOff>
                    <xdr:row>2</xdr:row>
                    <xdr:rowOff>7620</xdr:rowOff>
                  </from>
                  <to>
                    <xdr:col>6</xdr:col>
                    <xdr:colOff>11430</xdr:colOff>
                    <xdr:row>3</xdr:row>
                    <xdr:rowOff>0</xdr:rowOff>
                  </to>
                </anchor>
              </controlPr>
            </control>
          </mc:Choice>
        </mc:AlternateContent>
        <mc:AlternateContent xmlns:mc="http://schemas.openxmlformats.org/markup-compatibility/2006">
          <mc:Choice Requires="x14">
            <control shapeId="1030" r:id="rId5" name="Button 6">
              <controlPr defaultSize="0" print="0" autoFill="0" autoPict="0" macro="[0]!Add_Strain_3">
                <anchor moveWithCells="1" sizeWithCells="1">
                  <from>
                    <xdr:col>4</xdr:col>
                    <xdr:colOff>628650</xdr:colOff>
                    <xdr:row>3</xdr:row>
                    <xdr:rowOff>0</xdr:rowOff>
                  </from>
                  <to>
                    <xdr:col>6</xdr:col>
                    <xdr:colOff>7620</xdr:colOff>
                    <xdr:row>3</xdr:row>
                    <xdr:rowOff>171450</xdr:rowOff>
                  </to>
                </anchor>
              </controlPr>
            </control>
          </mc:Choice>
        </mc:AlternateContent>
        <mc:AlternateContent xmlns:mc="http://schemas.openxmlformats.org/markup-compatibility/2006">
          <mc:Choice Requires="x14">
            <control shapeId="1031" r:id="rId6" name="Button 7">
              <controlPr defaultSize="0" print="0" autoFill="0" autoPict="0" macro="[0]!Add_Strain_4">
                <anchor moveWithCells="1" sizeWithCells="1">
                  <from>
                    <xdr:col>4</xdr:col>
                    <xdr:colOff>628650</xdr:colOff>
                    <xdr:row>4</xdr:row>
                    <xdr:rowOff>0</xdr:rowOff>
                  </from>
                  <to>
                    <xdr:col>6</xdr:col>
                    <xdr:colOff>11430</xdr:colOff>
                    <xdr:row>4</xdr:row>
                    <xdr:rowOff>171450</xdr:rowOff>
                  </to>
                </anchor>
              </controlPr>
            </control>
          </mc:Choice>
        </mc:AlternateContent>
        <mc:AlternateContent xmlns:mc="http://schemas.openxmlformats.org/markup-compatibility/2006">
          <mc:Choice Requires="x14">
            <control shapeId="1032" r:id="rId7" name="Button 8">
              <controlPr defaultSize="0" print="0" autoFill="0" autoPict="0" macro="[0]!Add_Strain_5">
                <anchor moveWithCells="1" sizeWithCells="1">
                  <from>
                    <xdr:col>4</xdr:col>
                    <xdr:colOff>628650</xdr:colOff>
                    <xdr:row>5</xdr:row>
                    <xdr:rowOff>0</xdr:rowOff>
                  </from>
                  <to>
                    <xdr:col>6</xdr:col>
                    <xdr:colOff>7620</xdr:colOff>
                    <xdr:row>5</xdr:row>
                    <xdr:rowOff>171450</xdr:rowOff>
                  </to>
                </anchor>
              </controlPr>
            </control>
          </mc:Choice>
        </mc:AlternateContent>
        <mc:AlternateContent xmlns:mc="http://schemas.openxmlformats.org/markup-compatibility/2006">
          <mc:Choice Requires="x14">
            <control shapeId="1033" r:id="rId8" name="Button 9">
              <controlPr defaultSize="0" print="0" autoFill="0" autoPict="0" macro="[0]!Add_Strain_6">
                <anchor moveWithCells="1" sizeWithCells="1">
                  <from>
                    <xdr:col>4</xdr:col>
                    <xdr:colOff>628650</xdr:colOff>
                    <xdr:row>6</xdr:row>
                    <xdr:rowOff>0</xdr:rowOff>
                  </from>
                  <to>
                    <xdr:col>6</xdr:col>
                    <xdr:colOff>11430</xdr:colOff>
                    <xdr:row>6</xdr:row>
                    <xdr:rowOff>171450</xdr:rowOff>
                  </to>
                </anchor>
              </controlPr>
            </control>
          </mc:Choice>
        </mc:AlternateContent>
        <mc:AlternateContent xmlns:mc="http://schemas.openxmlformats.org/markup-compatibility/2006">
          <mc:Choice Requires="x14">
            <control shapeId="1034" r:id="rId9" name="Button 10">
              <controlPr defaultSize="0" print="0" autoFill="0" autoPict="0" macro="[0]!Add_Strain_7">
                <anchor moveWithCells="1" sizeWithCells="1">
                  <from>
                    <xdr:col>4</xdr:col>
                    <xdr:colOff>628650</xdr:colOff>
                    <xdr:row>7</xdr:row>
                    <xdr:rowOff>0</xdr:rowOff>
                  </from>
                  <to>
                    <xdr:col>6</xdr:col>
                    <xdr:colOff>7620</xdr:colOff>
                    <xdr:row>7</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Add_Strain_8">
                <anchor moveWithCells="1" sizeWithCells="1">
                  <from>
                    <xdr:col>4</xdr:col>
                    <xdr:colOff>628650</xdr:colOff>
                    <xdr:row>8</xdr:row>
                    <xdr:rowOff>0</xdr:rowOff>
                  </from>
                  <to>
                    <xdr:col>6</xdr:col>
                    <xdr:colOff>11430</xdr:colOff>
                    <xdr:row>8</xdr:row>
                    <xdr:rowOff>171450</xdr:rowOff>
                  </to>
                </anchor>
              </controlPr>
            </control>
          </mc:Choice>
        </mc:AlternateContent>
        <mc:AlternateContent xmlns:mc="http://schemas.openxmlformats.org/markup-compatibility/2006">
          <mc:Choice Requires="x14">
            <control shapeId="1036" r:id="rId11" name="Button 12">
              <controlPr defaultSize="0" print="0" autoFill="0" autoPict="0" macro="[0]!Add_Strain_9">
                <anchor moveWithCells="1" sizeWithCells="1">
                  <from>
                    <xdr:col>4</xdr:col>
                    <xdr:colOff>628650</xdr:colOff>
                    <xdr:row>9</xdr:row>
                    <xdr:rowOff>0</xdr:rowOff>
                  </from>
                  <to>
                    <xdr:col>6</xdr:col>
                    <xdr:colOff>7620</xdr:colOff>
                    <xdr:row>9</xdr:row>
                    <xdr:rowOff>171450</xdr:rowOff>
                  </to>
                </anchor>
              </controlPr>
            </control>
          </mc:Choice>
        </mc:AlternateContent>
        <mc:AlternateContent xmlns:mc="http://schemas.openxmlformats.org/markup-compatibility/2006">
          <mc:Choice Requires="x14">
            <control shapeId="1037" r:id="rId12" name="Button 13">
              <controlPr defaultSize="0" print="0" autoFill="0" autoPict="0" macro="[0]!Add_Strain_10">
                <anchor moveWithCells="1" sizeWithCells="1">
                  <from>
                    <xdr:col>4</xdr:col>
                    <xdr:colOff>628650</xdr:colOff>
                    <xdr:row>10</xdr:row>
                    <xdr:rowOff>0</xdr:rowOff>
                  </from>
                  <to>
                    <xdr:col>6</xdr:col>
                    <xdr:colOff>11430</xdr:colOff>
                    <xdr:row>10</xdr:row>
                    <xdr:rowOff>171450</xdr:rowOff>
                  </to>
                </anchor>
              </controlPr>
            </control>
          </mc:Choice>
        </mc:AlternateContent>
        <mc:AlternateContent xmlns:mc="http://schemas.openxmlformats.org/markup-compatibility/2006">
          <mc:Choice Requires="x14">
            <control shapeId="1038" r:id="rId13" name="Button 14">
              <controlPr defaultSize="0" print="0" autoFill="0" autoPict="0" macro="[0]!Add_Strain_11">
                <anchor moveWithCells="1" sizeWithCells="1">
                  <from>
                    <xdr:col>4</xdr:col>
                    <xdr:colOff>628650</xdr:colOff>
                    <xdr:row>11</xdr:row>
                    <xdr:rowOff>11430</xdr:rowOff>
                  </from>
                  <to>
                    <xdr:col>6</xdr:col>
                    <xdr:colOff>7620</xdr:colOff>
                    <xdr:row>12</xdr:row>
                    <xdr:rowOff>0</xdr:rowOff>
                  </to>
                </anchor>
              </controlPr>
            </control>
          </mc:Choice>
        </mc:AlternateContent>
        <mc:AlternateContent xmlns:mc="http://schemas.openxmlformats.org/markup-compatibility/2006">
          <mc:Choice Requires="x14">
            <control shapeId="1039" r:id="rId14" name="Button 15">
              <controlPr defaultSize="0" print="0" autoFill="0" autoPict="0" macro="[0]!Add_Strain_12">
                <anchor moveWithCells="1" sizeWithCells="1">
                  <from>
                    <xdr:col>4</xdr:col>
                    <xdr:colOff>628650</xdr:colOff>
                    <xdr:row>11</xdr:row>
                    <xdr:rowOff>179070</xdr:rowOff>
                  </from>
                  <to>
                    <xdr:col>6</xdr:col>
                    <xdr:colOff>11430</xdr:colOff>
                    <xdr:row>12</xdr:row>
                    <xdr:rowOff>171450</xdr:rowOff>
                  </to>
                </anchor>
              </controlPr>
            </control>
          </mc:Choice>
        </mc:AlternateContent>
        <mc:AlternateContent xmlns:mc="http://schemas.openxmlformats.org/markup-compatibility/2006">
          <mc:Choice Requires="x14">
            <control shapeId="1040" r:id="rId15" name="Button 16">
              <controlPr defaultSize="0" print="0" autoFill="0" autoPict="0" macro="[0]!Add_Strain_1">
                <anchor moveWithCells="1" sizeWithCells="1">
                  <from>
                    <xdr:col>4</xdr:col>
                    <xdr:colOff>628650</xdr:colOff>
                    <xdr:row>1</xdr:row>
                    <xdr:rowOff>11430</xdr:rowOff>
                  </from>
                  <to>
                    <xdr:col>6</xdr:col>
                    <xdr:colOff>7620</xdr:colOff>
                    <xdr:row>2</xdr:row>
                    <xdr:rowOff>0</xdr:rowOff>
                  </to>
                </anchor>
              </controlPr>
            </control>
          </mc:Choice>
        </mc:AlternateContent>
        <mc:AlternateContent xmlns:mc="http://schemas.openxmlformats.org/markup-compatibility/2006">
          <mc:Choice Requires="x14">
            <control shapeId="1041" r:id="rId16" name="Button 17">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D6623-D451-4773-B060-B4497C92577D}">
  <sheetPr codeName="Sheet2"/>
  <dimension ref="A1:M46"/>
  <sheetViews>
    <sheetView zoomScaleNormal="100" workbookViewId="0">
      <selection activeCell="C5" sqref="C5:C6"/>
    </sheetView>
  </sheetViews>
  <sheetFormatPr defaultRowHeight="14.4" x14ac:dyDescent="0.55000000000000004"/>
  <cols>
    <col min="2" max="2" width="11.3671875" customWidth="1"/>
    <col min="3" max="3" width="12.15625" customWidth="1"/>
    <col min="4" max="4" width="12.3671875" customWidth="1"/>
    <col min="5" max="5" width="11.7890625" customWidth="1"/>
  </cols>
  <sheetData>
    <row r="1" spans="1:13" x14ac:dyDescent="0.55000000000000004">
      <c r="A1" s="1" t="s">
        <v>0</v>
      </c>
      <c r="B1" s="1" t="s">
        <v>15</v>
      </c>
      <c r="C1" s="1" t="s">
        <v>16</v>
      </c>
      <c r="D1" s="1" t="s">
        <v>17</v>
      </c>
      <c r="E1" s="1" t="s">
        <v>18</v>
      </c>
      <c r="F1" s="1" t="s">
        <v>6</v>
      </c>
      <c r="G1" s="2" t="s">
        <v>7</v>
      </c>
    </row>
    <row r="2" spans="1:13" x14ac:dyDescent="0.55000000000000004">
      <c r="A2" s="3">
        <v>1</v>
      </c>
      <c r="B2" s="9"/>
      <c r="C2" s="9"/>
      <c r="D2" s="9"/>
      <c r="E2" s="9"/>
      <c r="G2" s="4" t="str">
        <f>IF(NOT(ISBLANK(B2)),"|media__base:"&amp;B2,"")&amp;IF(NOT(ISBLANK(C2)),"|media__cc:"&amp;C2,"")&amp;IF(NOT(ISBLANK(D2)),"|media__cc:"&amp;D2,"")&amp;IF(NOT(ISBLANK(E2)),"|media__cc:"&amp;E2,"")</f>
        <v/>
      </c>
    </row>
    <row r="3" spans="1:13" x14ac:dyDescent="0.55000000000000004">
      <c r="A3" s="3">
        <v>2</v>
      </c>
      <c r="B3" s="9"/>
      <c r="C3" s="9"/>
      <c r="D3" s="9"/>
      <c r="E3" s="9"/>
      <c r="G3" s="4" t="str">
        <f t="shared" ref="G3:G13" si="0">IF(NOT(ISBLANK(B3)),"|media__base:"&amp;B3,"")&amp;IF(NOT(ISBLANK(C3)),"|media__cc:"&amp;C3,"")&amp;IF(NOT(ISBLANK(D3)),"|media__cc:"&amp;D3,"")&amp;IF(NOT(ISBLANK(E3)),"|media__cc:"&amp;E3,"")</f>
        <v/>
      </c>
    </row>
    <row r="4" spans="1:13" x14ac:dyDescent="0.55000000000000004">
      <c r="A4" s="3">
        <v>3</v>
      </c>
      <c r="B4" s="9"/>
      <c r="C4" s="9"/>
      <c r="D4" s="9"/>
      <c r="E4" s="9"/>
      <c r="G4" s="4" t="str">
        <f t="shared" si="0"/>
        <v/>
      </c>
    </row>
    <row r="5" spans="1:13" x14ac:dyDescent="0.55000000000000004">
      <c r="A5" s="3">
        <v>4</v>
      </c>
      <c r="B5" s="9"/>
      <c r="C5" s="9"/>
      <c r="D5" s="9"/>
      <c r="E5" s="9"/>
      <c r="G5" s="4" t="str">
        <f t="shared" si="0"/>
        <v/>
      </c>
    </row>
    <row r="6" spans="1:13" x14ac:dyDescent="0.55000000000000004">
      <c r="A6" s="3">
        <v>5</v>
      </c>
      <c r="B6" s="9"/>
      <c r="C6" s="9"/>
      <c r="D6" s="9"/>
      <c r="E6" s="9"/>
      <c r="G6" s="4" t="str">
        <f t="shared" si="0"/>
        <v/>
      </c>
    </row>
    <row r="7" spans="1:13" x14ac:dyDescent="0.55000000000000004">
      <c r="A7" s="3">
        <v>6</v>
      </c>
      <c r="B7" s="9"/>
      <c r="C7" s="9"/>
      <c r="D7" s="9"/>
      <c r="E7" s="9"/>
      <c r="G7" s="4" t="str">
        <f t="shared" si="0"/>
        <v/>
      </c>
    </row>
    <row r="8" spans="1:13" x14ac:dyDescent="0.55000000000000004">
      <c r="A8" s="3">
        <v>7</v>
      </c>
      <c r="B8" s="9"/>
      <c r="C8" s="9"/>
      <c r="D8" s="9"/>
      <c r="E8" s="9"/>
      <c r="G8" s="4" t="str">
        <f t="shared" si="0"/>
        <v/>
      </c>
    </row>
    <row r="9" spans="1:13" x14ac:dyDescent="0.55000000000000004">
      <c r="A9" s="3">
        <v>8</v>
      </c>
      <c r="B9" s="9"/>
      <c r="C9" s="9"/>
      <c r="D9" s="9"/>
      <c r="E9" s="9"/>
      <c r="G9" s="4" t="str">
        <f t="shared" si="0"/>
        <v/>
      </c>
    </row>
    <row r="10" spans="1:13" x14ac:dyDescent="0.55000000000000004">
      <c r="A10" s="3">
        <v>9</v>
      </c>
      <c r="B10" s="9"/>
      <c r="C10" s="9"/>
      <c r="D10" s="9"/>
      <c r="E10" s="9"/>
      <c r="G10" s="4" t="str">
        <f t="shared" si="0"/>
        <v/>
      </c>
    </row>
    <row r="11" spans="1:13" x14ac:dyDescent="0.55000000000000004">
      <c r="A11" s="3">
        <v>10</v>
      </c>
      <c r="B11" s="9"/>
      <c r="C11" s="9"/>
      <c r="D11" s="9"/>
      <c r="E11" s="9"/>
      <c r="G11" s="4" t="str">
        <f t="shared" si="0"/>
        <v/>
      </c>
    </row>
    <row r="12" spans="1:13" x14ac:dyDescent="0.55000000000000004">
      <c r="A12" s="3">
        <v>11</v>
      </c>
      <c r="B12" s="9"/>
      <c r="C12" s="9"/>
      <c r="D12" s="9"/>
      <c r="E12" s="9"/>
      <c r="G12" s="4" t="str">
        <f t="shared" si="0"/>
        <v/>
      </c>
    </row>
    <row r="13" spans="1:13" x14ac:dyDescent="0.55000000000000004">
      <c r="A13" s="3">
        <v>12</v>
      </c>
      <c r="B13" s="9"/>
      <c r="C13" s="9"/>
      <c r="D13" s="9"/>
      <c r="E13" s="9"/>
      <c r="G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formatCells="0"/>
  <protectedRanges>
    <protectedRange sqref="B17:M24" name="Range4"/>
    <protectedRange sqref="B2:E13" name="Range3"/>
    <protectedRange sqref="B17:M24" name="StrainIdentifiers"/>
    <protectedRange sqref="B2:E13" name="StrainRange"/>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Strain_2">
                <anchor moveWithCells="1" sizeWithCells="1">
                  <from>
                    <xdr:col>5</xdr:col>
                    <xdr:colOff>3810</xdr:colOff>
                    <xdr:row>2</xdr:row>
                    <xdr:rowOff>11430</xdr:rowOff>
                  </from>
                  <to>
                    <xdr:col>6</xdr:col>
                    <xdr:colOff>11430</xdr:colOff>
                    <xdr:row>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Add_Strain_3">
                <anchor moveWithCells="1" sizeWithCells="1">
                  <from>
                    <xdr:col>5</xdr:col>
                    <xdr:colOff>3810</xdr:colOff>
                    <xdr:row>3</xdr:row>
                    <xdr:rowOff>0</xdr:rowOff>
                  </from>
                  <to>
                    <xdr:col>6</xdr:col>
                    <xdr:colOff>11430</xdr:colOff>
                    <xdr:row>3</xdr:row>
                    <xdr:rowOff>171450</xdr:rowOff>
                  </to>
                </anchor>
              </controlPr>
            </control>
          </mc:Choice>
        </mc:AlternateContent>
        <mc:AlternateContent xmlns:mc="http://schemas.openxmlformats.org/markup-compatibility/2006">
          <mc:Choice Requires="x14">
            <control shapeId="2051" r:id="rId5" name="Button 7">
              <controlPr defaultSize="0" print="0" autoFill="0" autoPict="0" macro="[0]!Add_Strain_4">
                <anchor moveWithCells="1" sizeWithCells="1">
                  <from>
                    <xdr:col>5</xdr:col>
                    <xdr:colOff>3810</xdr:colOff>
                    <xdr:row>4</xdr:row>
                    <xdr:rowOff>0</xdr:rowOff>
                  </from>
                  <to>
                    <xdr:col>6</xdr:col>
                    <xdr:colOff>11430</xdr:colOff>
                    <xdr:row>4</xdr:row>
                    <xdr:rowOff>171450</xdr:rowOff>
                  </to>
                </anchor>
              </controlPr>
            </control>
          </mc:Choice>
        </mc:AlternateContent>
        <mc:AlternateContent xmlns:mc="http://schemas.openxmlformats.org/markup-compatibility/2006">
          <mc:Choice Requires="x14">
            <control shapeId="2052" r:id="rId6" name="Button 4">
              <controlPr defaultSize="0" print="0" autoFill="0" autoPict="0" macro="[0]!Add_Strain_5">
                <anchor moveWithCells="1" sizeWithCells="1">
                  <from>
                    <xdr:col>5</xdr:col>
                    <xdr:colOff>3810</xdr:colOff>
                    <xdr:row>4</xdr:row>
                    <xdr:rowOff>179070</xdr:rowOff>
                  </from>
                  <to>
                    <xdr:col>6</xdr:col>
                    <xdr:colOff>11430</xdr:colOff>
                    <xdr:row>5</xdr:row>
                    <xdr:rowOff>171450</xdr:rowOff>
                  </to>
                </anchor>
              </controlPr>
            </control>
          </mc:Choice>
        </mc:AlternateContent>
        <mc:AlternateContent xmlns:mc="http://schemas.openxmlformats.org/markup-compatibility/2006">
          <mc:Choice Requires="x14">
            <control shapeId="2053" r:id="rId7" name="Button 5">
              <controlPr defaultSize="0" print="0" autoFill="0" autoPict="0" macro="[0]!Add_Strain_6">
                <anchor moveWithCells="1" sizeWithCells="1">
                  <from>
                    <xdr:col>5</xdr:col>
                    <xdr:colOff>3810</xdr:colOff>
                    <xdr:row>6</xdr:row>
                    <xdr:rowOff>0</xdr:rowOff>
                  </from>
                  <to>
                    <xdr:col>6</xdr:col>
                    <xdr:colOff>11430</xdr:colOff>
                    <xdr:row>6</xdr:row>
                    <xdr:rowOff>171450</xdr:rowOff>
                  </to>
                </anchor>
              </controlPr>
            </control>
          </mc:Choice>
        </mc:AlternateContent>
        <mc:AlternateContent xmlns:mc="http://schemas.openxmlformats.org/markup-compatibility/2006">
          <mc:Choice Requires="x14">
            <control shapeId="2054" r:id="rId8" name="Button 6">
              <controlPr defaultSize="0" print="0" autoFill="0" autoPict="0" macro="[0]!Add_Strain_7">
                <anchor moveWithCells="1" sizeWithCells="1">
                  <from>
                    <xdr:col>5</xdr:col>
                    <xdr:colOff>3810</xdr:colOff>
                    <xdr:row>7</xdr:row>
                    <xdr:rowOff>0</xdr:rowOff>
                  </from>
                  <to>
                    <xdr:col>6</xdr:col>
                    <xdr:colOff>11430</xdr:colOff>
                    <xdr:row>7</xdr:row>
                    <xdr:rowOff>171450</xdr:rowOff>
                  </to>
                </anchor>
              </controlPr>
            </control>
          </mc:Choice>
        </mc:AlternateContent>
        <mc:AlternateContent xmlns:mc="http://schemas.openxmlformats.org/markup-compatibility/2006">
          <mc:Choice Requires="x14">
            <control shapeId="2055" r:id="rId9" name="Button 7">
              <controlPr defaultSize="0" print="0" autoFill="0" autoPict="0" macro="[0]!Add_Strain_8">
                <anchor moveWithCells="1" sizeWithCells="1">
                  <from>
                    <xdr:col>5</xdr:col>
                    <xdr:colOff>3810</xdr:colOff>
                    <xdr:row>8</xdr:row>
                    <xdr:rowOff>0</xdr:rowOff>
                  </from>
                  <to>
                    <xdr:col>6</xdr:col>
                    <xdr:colOff>11430</xdr:colOff>
                    <xdr:row>8</xdr:row>
                    <xdr:rowOff>171450</xdr:rowOff>
                  </to>
                </anchor>
              </controlPr>
            </control>
          </mc:Choice>
        </mc:AlternateContent>
        <mc:AlternateContent xmlns:mc="http://schemas.openxmlformats.org/markup-compatibility/2006">
          <mc:Choice Requires="x14">
            <control shapeId="2056" r:id="rId10" name="Button 8">
              <controlPr defaultSize="0" print="0" autoFill="0" autoPict="0" macro="[0]!Add_Strain_9">
                <anchor moveWithCells="1" sizeWithCells="1">
                  <from>
                    <xdr:col>5</xdr:col>
                    <xdr:colOff>3810</xdr:colOff>
                    <xdr:row>9</xdr:row>
                    <xdr:rowOff>0</xdr:rowOff>
                  </from>
                  <to>
                    <xdr:col>6</xdr:col>
                    <xdr:colOff>11430</xdr:colOff>
                    <xdr:row>9</xdr:row>
                    <xdr:rowOff>171450</xdr:rowOff>
                  </to>
                </anchor>
              </controlPr>
            </control>
          </mc:Choice>
        </mc:AlternateContent>
        <mc:AlternateContent xmlns:mc="http://schemas.openxmlformats.org/markup-compatibility/2006">
          <mc:Choice Requires="x14">
            <control shapeId="2057" r:id="rId11" name="Button 9">
              <controlPr defaultSize="0" print="0" autoFill="0" autoPict="0" macro="[0]!Add_Strain_10">
                <anchor moveWithCells="1" sizeWithCells="1">
                  <from>
                    <xdr:col>5</xdr:col>
                    <xdr:colOff>3810</xdr:colOff>
                    <xdr:row>10</xdr:row>
                    <xdr:rowOff>0</xdr:rowOff>
                  </from>
                  <to>
                    <xdr:col>6</xdr:col>
                    <xdr:colOff>11430</xdr:colOff>
                    <xdr:row>10</xdr:row>
                    <xdr:rowOff>171450</xdr:rowOff>
                  </to>
                </anchor>
              </controlPr>
            </control>
          </mc:Choice>
        </mc:AlternateContent>
        <mc:AlternateContent xmlns:mc="http://schemas.openxmlformats.org/markup-compatibility/2006">
          <mc:Choice Requires="x14">
            <control shapeId="2058" r:id="rId12" name="Button 10">
              <controlPr defaultSize="0" print="0" autoFill="0" autoPict="0" macro="[0]!Add_Strain_11">
                <anchor moveWithCells="1" sizeWithCells="1">
                  <from>
                    <xdr:col>5</xdr:col>
                    <xdr:colOff>3810</xdr:colOff>
                    <xdr:row>11</xdr:row>
                    <xdr:rowOff>11430</xdr:rowOff>
                  </from>
                  <to>
                    <xdr:col>6</xdr:col>
                    <xdr:colOff>11430</xdr:colOff>
                    <xdr:row>11</xdr:row>
                    <xdr:rowOff>179070</xdr:rowOff>
                  </to>
                </anchor>
              </controlPr>
            </control>
          </mc:Choice>
        </mc:AlternateContent>
        <mc:AlternateContent xmlns:mc="http://schemas.openxmlformats.org/markup-compatibility/2006">
          <mc:Choice Requires="x14">
            <control shapeId="2059" r:id="rId13" name="Button 11">
              <controlPr defaultSize="0" print="0" autoFill="0" autoPict="0" macro="[0]!Add_Strain_12">
                <anchor moveWithCells="1" sizeWithCells="1">
                  <from>
                    <xdr:col>5</xdr:col>
                    <xdr:colOff>3810</xdr:colOff>
                    <xdr:row>12</xdr:row>
                    <xdr:rowOff>0</xdr:rowOff>
                  </from>
                  <to>
                    <xdr:col>6</xdr:col>
                    <xdr:colOff>11430</xdr:colOff>
                    <xdr:row>12</xdr:row>
                    <xdr:rowOff>171450</xdr:rowOff>
                  </to>
                </anchor>
              </controlPr>
            </control>
          </mc:Choice>
        </mc:AlternateContent>
        <mc:AlternateContent xmlns:mc="http://schemas.openxmlformats.org/markup-compatibility/2006">
          <mc:Choice Requires="x14">
            <control shapeId="2060" r:id="rId14" name="Button 12">
              <controlPr defaultSize="0" print="0" autoFill="0" autoPict="0" macro="[0]!Add_Media_1">
                <anchor moveWithCells="1" sizeWithCells="1">
                  <from>
                    <xdr:col>5</xdr:col>
                    <xdr:colOff>3810</xdr:colOff>
                    <xdr:row>1</xdr:row>
                    <xdr:rowOff>7620</xdr:rowOff>
                  </from>
                  <to>
                    <xdr:col>6</xdr:col>
                    <xdr:colOff>7620</xdr:colOff>
                    <xdr:row>2</xdr:row>
                    <xdr:rowOff>0</xdr:rowOff>
                  </to>
                </anchor>
              </controlPr>
            </control>
          </mc:Choice>
        </mc:AlternateContent>
        <mc:AlternateContent xmlns:mc="http://schemas.openxmlformats.org/markup-compatibility/2006">
          <mc:Choice Requires="x14">
            <control shapeId="2061" r:id="rId15" name="Button 13">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mc:AlternateContent xmlns:mc="http://schemas.openxmlformats.org/markup-compatibility/2006">
          <mc:Choice Requires="x14">
            <control shapeId="2062" r:id="rId16" name="Button 14">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63" r:id="rId17" name="Button 15">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64" r:id="rId18" name="Button 16">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65" r:id="rId19" name="Button 17">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66" r:id="rId20" name="Button 18">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67" r:id="rId21" name="Button 19">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68" r:id="rId22" name="Button 20">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69" r:id="rId23" name="Button 21">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70" r:id="rId24" name="Button 22">
              <controlPr defaultSize="0" print="0" autoFill="0" autoPict="0" macro="[0]!Add_Media_10">
                <anchor moveWithCells="1" sizeWithCells="1">
                  <from>
                    <xdr:col>5</xdr:col>
                    <xdr:colOff>3810</xdr:colOff>
                    <xdr:row>10</xdr:row>
                    <xdr:rowOff>7620</xdr:rowOff>
                  </from>
                  <to>
                    <xdr:col>6</xdr:col>
                    <xdr:colOff>7620</xdr:colOff>
                    <xdr:row>11</xdr:row>
                    <xdr:rowOff>182880</xdr:rowOff>
                  </to>
                </anchor>
              </controlPr>
            </control>
          </mc:Choice>
        </mc:AlternateContent>
        <mc:AlternateContent xmlns:mc="http://schemas.openxmlformats.org/markup-compatibility/2006">
          <mc:Choice Requires="x14">
            <control shapeId="2071" r:id="rId25" name="Button 23">
              <controlPr defaultSize="0" print="0" autoFill="0" autoPict="0" macro="[0]!Add_Media_11">
                <anchor moveWithCells="1" sizeWithCells="1">
                  <from>
                    <xdr:col>5</xdr:col>
                    <xdr:colOff>3810</xdr:colOff>
                    <xdr:row>11</xdr:row>
                    <xdr:rowOff>7620</xdr:rowOff>
                  </from>
                  <to>
                    <xdr:col>6</xdr:col>
                    <xdr:colOff>7620</xdr:colOff>
                    <xdr:row>12</xdr:row>
                    <xdr:rowOff>182880</xdr:rowOff>
                  </to>
                </anchor>
              </controlPr>
            </control>
          </mc:Choice>
        </mc:AlternateContent>
        <mc:AlternateContent xmlns:mc="http://schemas.openxmlformats.org/markup-compatibility/2006">
          <mc:Choice Requires="x14">
            <control shapeId="2073" r:id="rId26" name="Button 25">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74" r:id="rId27" name="Button 26">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75" r:id="rId28" name="Button 27">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76" r:id="rId29" name="Button 28">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77" r:id="rId30" name="Button 29">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78" r:id="rId31" name="Button 30">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79" r:id="rId32" name="Button 31">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80" r:id="rId33" name="Button 32">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81" r:id="rId34" name="Button 33">
              <controlPr defaultSize="0" print="0" autoFill="0" autoPict="0" macro="[0]!Add_Media_10">
                <anchor moveWithCells="1" sizeWithCells="1">
                  <from>
                    <xdr:col>5</xdr:col>
                    <xdr:colOff>3810</xdr:colOff>
                    <xdr:row>10</xdr:row>
                    <xdr:rowOff>7620</xdr:rowOff>
                  </from>
                  <to>
                    <xdr:col>6</xdr:col>
                    <xdr:colOff>7620</xdr:colOff>
                    <xdr:row>11</xdr:row>
                    <xdr:rowOff>182880</xdr:rowOff>
                  </to>
                </anchor>
              </controlPr>
            </control>
          </mc:Choice>
        </mc:AlternateContent>
        <mc:AlternateContent xmlns:mc="http://schemas.openxmlformats.org/markup-compatibility/2006">
          <mc:Choice Requires="x14">
            <control shapeId="2082" r:id="rId35" name="Button 34">
              <controlPr defaultSize="0" print="0" autoFill="0" autoPict="0" macro="[0]!Add_Media_11">
                <anchor moveWithCells="1" sizeWithCells="1">
                  <from>
                    <xdr:col>5</xdr:col>
                    <xdr:colOff>3810</xdr:colOff>
                    <xdr:row>11</xdr:row>
                    <xdr:rowOff>7620</xdr:rowOff>
                  </from>
                  <to>
                    <xdr:col>6</xdr:col>
                    <xdr:colOff>7620</xdr:colOff>
                    <xdr:row>12</xdr:row>
                    <xdr:rowOff>182880</xdr:rowOff>
                  </to>
                </anchor>
              </controlPr>
            </control>
          </mc:Choice>
        </mc:AlternateContent>
        <mc:AlternateContent xmlns:mc="http://schemas.openxmlformats.org/markup-compatibility/2006">
          <mc:Choice Requires="x14">
            <control shapeId="2084" r:id="rId36" name="Button 36">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85" r:id="rId37" name="Button 37">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86" r:id="rId38" name="Button 38">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87" r:id="rId39" name="Button 39">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88" r:id="rId40" name="Button 40">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89" r:id="rId41" name="Button 41">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90" r:id="rId42" name="Button 42">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91" r:id="rId43" name="Button 43">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92" r:id="rId44" name="Button 44">
              <controlPr defaultSize="0" print="0" autoFill="0" autoPict="0" macro="[0]!Add_Media_10">
                <anchor moveWithCells="1" sizeWithCells="1">
                  <from>
                    <xdr:col>5</xdr:col>
                    <xdr:colOff>3810</xdr:colOff>
                    <xdr:row>10</xdr:row>
                    <xdr:rowOff>7620</xdr:rowOff>
                  </from>
                  <to>
                    <xdr:col>6</xdr:col>
                    <xdr:colOff>7620</xdr:colOff>
                    <xdr:row>11</xdr:row>
                    <xdr:rowOff>0</xdr:rowOff>
                  </to>
                </anchor>
              </controlPr>
            </control>
          </mc:Choice>
        </mc:AlternateContent>
        <mc:AlternateContent xmlns:mc="http://schemas.openxmlformats.org/markup-compatibility/2006">
          <mc:Choice Requires="x14">
            <control shapeId="2093" r:id="rId45" name="Button 45">
              <controlPr defaultSize="0" print="0" autoFill="0" autoPict="0" macro="[0]!Add_Media_11">
                <anchor moveWithCells="1" sizeWithCells="1">
                  <from>
                    <xdr:col>5</xdr:col>
                    <xdr:colOff>3810</xdr:colOff>
                    <xdr:row>11</xdr:row>
                    <xdr:rowOff>7620</xdr:rowOff>
                  </from>
                  <to>
                    <xdr:col>6</xdr:col>
                    <xdr:colOff>7620</xdr:colOff>
                    <xdr:row>12</xdr:row>
                    <xdr:rowOff>0</xdr:rowOff>
                  </to>
                </anchor>
              </controlPr>
            </control>
          </mc:Choice>
        </mc:AlternateContent>
        <mc:AlternateContent xmlns:mc="http://schemas.openxmlformats.org/markup-compatibility/2006">
          <mc:Choice Requires="x14">
            <control shapeId="2094" r:id="rId46" name="Button 46">
              <controlPr defaultSize="0" print="0" autoFill="0" autoPict="0" macro="[0]!Add_Media_12">
                <anchor moveWithCells="1" sizeWithCells="1">
                  <from>
                    <xdr:col>5</xdr:col>
                    <xdr:colOff>3810</xdr:colOff>
                    <xdr:row>12</xdr:row>
                    <xdr:rowOff>7620</xdr:rowOff>
                  </from>
                  <to>
                    <xdr:col>6</xdr:col>
                    <xdr:colOff>7620</xdr:colOff>
                    <xdr:row>13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75E-CE5A-48A5-8126-51D326D8363C}">
  <sheetPr codeName="Sheet3"/>
  <dimension ref="A1:M46"/>
  <sheetViews>
    <sheetView workbookViewId="0">
      <selection activeCell="E21" sqref="E21"/>
    </sheetView>
  </sheetViews>
  <sheetFormatPr defaultRowHeight="14.4" x14ac:dyDescent="0.55000000000000004"/>
  <cols>
    <col min="2" max="2" width="11.3671875" customWidth="1"/>
    <col min="3" max="3" width="12.15625" customWidth="1"/>
    <col min="4" max="4" width="12.3671875" customWidth="1"/>
    <col min="5" max="7" width="11.7890625" customWidth="1"/>
  </cols>
  <sheetData>
    <row r="1" spans="1:13" x14ac:dyDescent="0.55000000000000004">
      <c r="A1" s="1" t="s">
        <v>0</v>
      </c>
      <c r="B1" s="1" t="s">
        <v>19</v>
      </c>
      <c r="C1" s="1" t="s">
        <v>22</v>
      </c>
      <c r="D1" s="1" t="s">
        <v>23</v>
      </c>
      <c r="E1" s="1" t="s">
        <v>24</v>
      </c>
      <c r="F1" s="1" t="s">
        <v>20</v>
      </c>
      <c r="G1" s="1" t="s">
        <v>21</v>
      </c>
      <c r="H1" s="1" t="s">
        <v>6</v>
      </c>
      <c r="I1" s="2" t="s">
        <v>7</v>
      </c>
    </row>
    <row r="2" spans="1:13" x14ac:dyDescent="0.55000000000000004">
      <c r="A2" s="3">
        <v>1</v>
      </c>
      <c r="B2" s="9"/>
      <c r="C2" s="9"/>
      <c r="D2" s="9"/>
      <c r="E2" s="9"/>
      <c r="F2" s="9"/>
      <c r="G2" s="9"/>
      <c r="I2" s="4" t="str">
        <f>IF(NOT(ISBLANK(B2)),"|environment__labware:"&amp;B2,"")&amp;IF(NOT(ISBLANK(C2)),"|environment__temperature:"&amp;C2,"")&amp;IF(NOT(ISBLANK(D2)),"|environment__pH:"&amp;D2,"")&amp;IF(NOT(ISBLANK(E2)),"|environment__DO:"&amp;E2,"")&amp;IF(NOT(ISBLANK(F2)),"|environment__shaking_speed:"&amp;F2,"")&amp;IF(NOT(ISBLANK(G2)),"|environment__labware:"&amp;G2,"")</f>
        <v/>
      </c>
    </row>
    <row r="3" spans="1:13" x14ac:dyDescent="0.55000000000000004">
      <c r="A3" s="3">
        <v>2</v>
      </c>
      <c r="B3" s="9"/>
      <c r="C3" s="9"/>
      <c r="D3" s="9"/>
      <c r="E3" s="9"/>
      <c r="F3" s="9"/>
      <c r="G3" s="9"/>
      <c r="I3" s="4" t="str">
        <f t="shared" ref="I3:I13" si="0">IF(NOT(ISBLANK(B3)),"|environment__labware:"&amp;B3,"")&amp;IF(NOT(ISBLANK(C3)),"|environment__temperature:"&amp;C3,"")&amp;IF(NOT(ISBLANK(D3)),"|environment__pH:"&amp;D3,"")&amp;IF(NOT(ISBLANK(E3)),"|environment__DO:"&amp;E3,"")&amp;IF(NOT(ISBLANK(F3)),"|environment__shaking_speed:"&amp;F3,"")&amp;IF(NOT(ISBLANK(G3)),"|environment__labware:"&amp;G3,"")</f>
        <v/>
      </c>
    </row>
    <row r="4" spans="1:13" x14ac:dyDescent="0.55000000000000004">
      <c r="A4" s="3">
        <v>3</v>
      </c>
      <c r="B4" s="9"/>
      <c r="C4" s="9"/>
      <c r="D4" s="9"/>
      <c r="E4" s="9"/>
      <c r="F4" s="9"/>
      <c r="G4" s="9"/>
      <c r="I4" s="4" t="str">
        <f t="shared" si="0"/>
        <v/>
      </c>
    </row>
    <row r="5" spans="1:13" x14ac:dyDescent="0.55000000000000004">
      <c r="A5" s="3">
        <v>4</v>
      </c>
      <c r="B5" s="9"/>
      <c r="C5" s="9"/>
      <c r="D5" s="9"/>
      <c r="E5" s="9"/>
      <c r="F5" s="9"/>
      <c r="G5" s="9"/>
      <c r="I5" s="4" t="str">
        <f t="shared" si="0"/>
        <v/>
      </c>
    </row>
    <row r="6" spans="1:13" x14ac:dyDescent="0.55000000000000004">
      <c r="A6" s="3">
        <v>5</v>
      </c>
      <c r="B6" s="9"/>
      <c r="C6" s="9"/>
      <c r="D6" s="9"/>
      <c r="E6" s="9"/>
      <c r="F6" s="9"/>
      <c r="G6" s="9"/>
      <c r="I6" s="4" t="str">
        <f t="shared" si="0"/>
        <v/>
      </c>
    </row>
    <row r="7" spans="1:13" x14ac:dyDescent="0.55000000000000004">
      <c r="A7" s="3">
        <v>6</v>
      </c>
      <c r="B7" s="9"/>
      <c r="C7" s="9"/>
      <c r="D7" s="9"/>
      <c r="E7" s="9"/>
      <c r="F7" s="9"/>
      <c r="G7" s="9"/>
      <c r="I7" s="4" t="str">
        <f t="shared" si="0"/>
        <v/>
      </c>
    </row>
    <row r="8" spans="1:13" x14ac:dyDescent="0.55000000000000004">
      <c r="A8" s="3">
        <v>7</v>
      </c>
      <c r="B8" s="9"/>
      <c r="C8" s="9"/>
      <c r="D8" s="9"/>
      <c r="E8" s="9"/>
      <c r="F8" s="9"/>
      <c r="G8" s="9"/>
      <c r="I8" s="4" t="str">
        <f t="shared" si="0"/>
        <v/>
      </c>
    </row>
    <row r="9" spans="1:13" x14ac:dyDescent="0.55000000000000004">
      <c r="A9" s="3">
        <v>8</v>
      </c>
      <c r="B9" s="9"/>
      <c r="C9" s="9"/>
      <c r="D9" s="9"/>
      <c r="E9" s="9"/>
      <c r="F9" s="9"/>
      <c r="G9" s="9"/>
      <c r="I9" s="4" t="str">
        <f t="shared" si="0"/>
        <v/>
      </c>
    </row>
    <row r="10" spans="1:13" x14ac:dyDescent="0.55000000000000004">
      <c r="A10" s="3">
        <v>9</v>
      </c>
      <c r="B10" s="9"/>
      <c r="C10" s="9"/>
      <c r="D10" s="9"/>
      <c r="E10" s="9"/>
      <c r="F10" s="9"/>
      <c r="G10" s="9"/>
      <c r="I10" s="4" t="str">
        <f t="shared" si="0"/>
        <v/>
      </c>
    </row>
    <row r="11" spans="1:13" x14ac:dyDescent="0.55000000000000004">
      <c r="A11" s="3">
        <v>10</v>
      </c>
      <c r="B11" s="9"/>
      <c r="C11" s="9"/>
      <c r="D11" s="9"/>
      <c r="E11" s="9"/>
      <c r="F11" s="9"/>
      <c r="G11" s="9"/>
      <c r="I11" s="4" t="str">
        <f t="shared" si="0"/>
        <v/>
      </c>
    </row>
    <row r="12" spans="1:13" x14ac:dyDescent="0.55000000000000004">
      <c r="A12" s="3">
        <v>11</v>
      </c>
      <c r="B12" s="9"/>
      <c r="C12" s="9"/>
      <c r="D12" s="9"/>
      <c r="E12" s="9"/>
      <c r="F12" s="9"/>
      <c r="G12" s="9"/>
      <c r="I12" s="4" t="str">
        <f t="shared" si="0"/>
        <v/>
      </c>
    </row>
    <row r="13" spans="1:13" x14ac:dyDescent="0.55000000000000004">
      <c r="A13" s="3">
        <v>12</v>
      </c>
      <c r="B13" s="9"/>
      <c r="C13" s="9"/>
      <c r="D13" s="9"/>
      <c r="E13" s="9"/>
      <c r="F13" s="9"/>
      <c r="G13" s="9"/>
      <c r="I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objects="1" scenarios="1" formatCells="0"/>
  <protectedRanges>
    <protectedRange sqref="B2:G13" name="EnvironmentRange"/>
    <protectedRange sqref="B17:M24" name="Range4"/>
    <protectedRange sqref="B2:G13" name="Range3"/>
    <protectedRange sqref="B17:M24" name="StrainIdentifiers"/>
    <protectedRange sqref="B2:G13" name="StrainRange"/>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Strain_2">
                <anchor moveWithCells="1" sizeWithCells="1">
                  <from>
                    <xdr:col>7</xdr:col>
                    <xdr:colOff>3810</xdr:colOff>
                    <xdr:row>2</xdr:row>
                    <xdr:rowOff>11430</xdr:rowOff>
                  </from>
                  <to>
                    <xdr:col>8</xdr:col>
                    <xdr:colOff>11430</xdr:colOff>
                    <xdr:row>3</xdr:row>
                    <xdr:rowOff>0</xdr:rowOff>
                  </to>
                </anchor>
              </controlPr>
            </control>
          </mc:Choice>
        </mc:AlternateContent>
        <mc:AlternateContent xmlns:mc="http://schemas.openxmlformats.org/markup-compatibility/2006">
          <mc:Choice Requires="x14">
            <control shapeId="3074" r:id="rId4" name="Button 2">
              <controlPr defaultSize="0" print="0" autoFill="0" autoPict="0" macro="[0]!Add_Strain_3">
                <anchor moveWithCells="1" sizeWithCells="1">
                  <from>
                    <xdr:col>7</xdr:col>
                    <xdr:colOff>3810</xdr:colOff>
                    <xdr:row>3</xdr:row>
                    <xdr:rowOff>0</xdr:rowOff>
                  </from>
                  <to>
                    <xdr:col>8</xdr:col>
                    <xdr:colOff>11430</xdr:colOff>
                    <xdr:row>3</xdr:row>
                    <xdr:rowOff>171450</xdr:rowOff>
                  </to>
                </anchor>
              </controlPr>
            </control>
          </mc:Choice>
        </mc:AlternateContent>
        <mc:AlternateContent xmlns:mc="http://schemas.openxmlformats.org/markup-compatibility/2006">
          <mc:Choice Requires="x14">
            <control shapeId="3075" r:id="rId5" name="Button 7">
              <controlPr defaultSize="0" print="0" autoFill="0" autoPict="0" macro="[0]!Add_Strain_4">
                <anchor moveWithCells="1" sizeWithCells="1">
                  <from>
                    <xdr:col>7</xdr:col>
                    <xdr:colOff>3810</xdr:colOff>
                    <xdr:row>4</xdr:row>
                    <xdr:rowOff>0</xdr:rowOff>
                  </from>
                  <to>
                    <xdr:col>8</xdr:col>
                    <xdr:colOff>11430</xdr:colOff>
                    <xdr:row>4</xdr:row>
                    <xdr:rowOff>171450</xdr:rowOff>
                  </to>
                </anchor>
              </controlPr>
            </control>
          </mc:Choice>
        </mc:AlternateContent>
        <mc:AlternateContent xmlns:mc="http://schemas.openxmlformats.org/markup-compatibility/2006">
          <mc:Choice Requires="x14">
            <control shapeId="3076" r:id="rId6" name="Button 4">
              <controlPr defaultSize="0" print="0" autoFill="0" autoPict="0" macro="[0]!Add_Strain_5">
                <anchor moveWithCells="1" sizeWithCells="1">
                  <from>
                    <xdr:col>7</xdr:col>
                    <xdr:colOff>3810</xdr:colOff>
                    <xdr:row>4</xdr:row>
                    <xdr:rowOff>179070</xdr:rowOff>
                  </from>
                  <to>
                    <xdr:col>8</xdr:col>
                    <xdr:colOff>11430</xdr:colOff>
                    <xdr:row>5</xdr:row>
                    <xdr:rowOff>171450</xdr:rowOff>
                  </to>
                </anchor>
              </controlPr>
            </control>
          </mc:Choice>
        </mc:AlternateContent>
        <mc:AlternateContent xmlns:mc="http://schemas.openxmlformats.org/markup-compatibility/2006">
          <mc:Choice Requires="x14">
            <control shapeId="3077" r:id="rId7" name="Button 5">
              <controlPr defaultSize="0" print="0" autoFill="0" autoPict="0" macro="[0]!Add_Strain_6">
                <anchor moveWithCells="1" sizeWithCells="1">
                  <from>
                    <xdr:col>7</xdr:col>
                    <xdr:colOff>3810</xdr:colOff>
                    <xdr:row>6</xdr:row>
                    <xdr:rowOff>0</xdr:rowOff>
                  </from>
                  <to>
                    <xdr:col>8</xdr:col>
                    <xdr:colOff>11430</xdr:colOff>
                    <xdr:row>6</xdr:row>
                    <xdr:rowOff>171450</xdr:rowOff>
                  </to>
                </anchor>
              </controlPr>
            </control>
          </mc:Choice>
        </mc:AlternateContent>
        <mc:AlternateContent xmlns:mc="http://schemas.openxmlformats.org/markup-compatibility/2006">
          <mc:Choice Requires="x14">
            <control shapeId="3078" r:id="rId8" name="Button 6">
              <controlPr defaultSize="0" print="0" autoFill="0" autoPict="0" macro="[0]!Add_Strain_7">
                <anchor moveWithCells="1" sizeWithCells="1">
                  <from>
                    <xdr:col>7</xdr:col>
                    <xdr:colOff>3810</xdr:colOff>
                    <xdr:row>7</xdr:row>
                    <xdr:rowOff>0</xdr:rowOff>
                  </from>
                  <to>
                    <xdr:col>8</xdr:col>
                    <xdr:colOff>11430</xdr:colOff>
                    <xdr:row>7</xdr:row>
                    <xdr:rowOff>171450</xdr:rowOff>
                  </to>
                </anchor>
              </controlPr>
            </control>
          </mc:Choice>
        </mc:AlternateContent>
        <mc:AlternateContent xmlns:mc="http://schemas.openxmlformats.org/markup-compatibility/2006">
          <mc:Choice Requires="x14">
            <control shapeId="3079" r:id="rId9" name="Button 7">
              <controlPr defaultSize="0" print="0" autoFill="0" autoPict="0" macro="[0]!Add_Strain_8">
                <anchor moveWithCells="1" sizeWithCells="1">
                  <from>
                    <xdr:col>7</xdr:col>
                    <xdr:colOff>3810</xdr:colOff>
                    <xdr:row>8</xdr:row>
                    <xdr:rowOff>0</xdr:rowOff>
                  </from>
                  <to>
                    <xdr:col>8</xdr:col>
                    <xdr:colOff>11430</xdr:colOff>
                    <xdr:row>8</xdr:row>
                    <xdr:rowOff>171450</xdr:rowOff>
                  </to>
                </anchor>
              </controlPr>
            </control>
          </mc:Choice>
        </mc:AlternateContent>
        <mc:AlternateContent xmlns:mc="http://schemas.openxmlformats.org/markup-compatibility/2006">
          <mc:Choice Requires="x14">
            <control shapeId="3080" r:id="rId10" name="Button 8">
              <controlPr defaultSize="0" print="0" autoFill="0" autoPict="0" macro="[0]!Add_Strain_9">
                <anchor moveWithCells="1" sizeWithCells="1">
                  <from>
                    <xdr:col>7</xdr:col>
                    <xdr:colOff>3810</xdr:colOff>
                    <xdr:row>9</xdr:row>
                    <xdr:rowOff>0</xdr:rowOff>
                  </from>
                  <to>
                    <xdr:col>8</xdr:col>
                    <xdr:colOff>11430</xdr:colOff>
                    <xdr:row>9</xdr:row>
                    <xdr:rowOff>171450</xdr:rowOff>
                  </to>
                </anchor>
              </controlPr>
            </control>
          </mc:Choice>
        </mc:AlternateContent>
        <mc:AlternateContent xmlns:mc="http://schemas.openxmlformats.org/markup-compatibility/2006">
          <mc:Choice Requires="x14">
            <control shapeId="3081" r:id="rId11" name="Button 9">
              <controlPr defaultSize="0" print="0" autoFill="0" autoPict="0" macro="[0]!Add_Strain_10">
                <anchor moveWithCells="1" sizeWithCells="1">
                  <from>
                    <xdr:col>7</xdr:col>
                    <xdr:colOff>3810</xdr:colOff>
                    <xdr:row>10</xdr:row>
                    <xdr:rowOff>0</xdr:rowOff>
                  </from>
                  <to>
                    <xdr:col>8</xdr:col>
                    <xdr:colOff>11430</xdr:colOff>
                    <xdr:row>10</xdr:row>
                    <xdr:rowOff>171450</xdr:rowOff>
                  </to>
                </anchor>
              </controlPr>
            </control>
          </mc:Choice>
        </mc:AlternateContent>
        <mc:AlternateContent xmlns:mc="http://schemas.openxmlformats.org/markup-compatibility/2006">
          <mc:Choice Requires="x14">
            <control shapeId="3082" r:id="rId12" name="Button 10">
              <controlPr defaultSize="0" print="0" autoFill="0" autoPict="0" macro="[0]!Add_Strain_11">
                <anchor moveWithCells="1" sizeWithCells="1">
                  <from>
                    <xdr:col>7</xdr:col>
                    <xdr:colOff>3810</xdr:colOff>
                    <xdr:row>11</xdr:row>
                    <xdr:rowOff>11430</xdr:rowOff>
                  </from>
                  <to>
                    <xdr:col>8</xdr:col>
                    <xdr:colOff>11430</xdr:colOff>
                    <xdr:row>11</xdr:row>
                    <xdr:rowOff>179070</xdr:rowOff>
                  </to>
                </anchor>
              </controlPr>
            </control>
          </mc:Choice>
        </mc:AlternateContent>
        <mc:AlternateContent xmlns:mc="http://schemas.openxmlformats.org/markup-compatibility/2006">
          <mc:Choice Requires="x14">
            <control shapeId="3083" r:id="rId13" name="Button 11">
              <controlPr defaultSize="0" print="0" autoFill="0" autoPict="0" macro="[0]!Add_Strain_12">
                <anchor moveWithCells="1" sizeWithCells="1">
                  <from>
                    <xdr:col>7</xdr:col>
                    <xdr:colOff>3810</xdr:colOff>
                    <xdr:row>12</xdr:row>
                    <xdr:rowOff>0</xdr:rowOff>
                  </from>
                  <to>
                    <xdr:col>8</xdr:col>
                    <xdr:colOff>11430</xdr:colOff>
                    <xdr:row>12</xdr:row>
                    <xdr:rowOff>171450</xdr:rowOff>
                  </to>
                </anchor>
              </controlPr>
            </control>
          </mc:Choice>
        </mc:AlternateContent>
        <mc:AlternateContent xmlns:mc="http://schemas.openxmlformats.org/markup-compatibility/2006">
          <mc:Choice Requires="x14">
            <control shapeId="3084" r:id="rId14" name="Button 12">
              <controlPr defaultSize="0" print="0" autoFill="0" autoPict="0" macro="[0]!Add_Environment_1">
                <anchor moveWithCells="1" sizeWithCells="1">
                  <from>
                    <xdr:col>7</xdr:col>
                    <xdr:colOff>3810</xdr:colOff>
                    <xdr:row>1</xdr:row>
                    <xdr:rowOff>7620</xdr:rowOff>
                  </from>
                  <to>
                    <xdr:col>8</xdr:col>
                    <xdr:colOff>7620</xdr:colOff>
                    <xdr:row>2</xdr:row>
                    <xdr:rowOff>0</xdr:rowOff>
                  </to>
                </anchor>
              </controlPr>
            </control>
          </mc:Choice>
        </mc:AlternateContent>
        <mc:AlternateContent xmlns:mc="http://schemas.openxmlformats.org/markup-compatibility/2006">
          <mc:Choice Requires="x14">
            <control shapeId="3085" r:id="rId15" name="Button 13">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mc:AlternateContent xmlns:mc="http://schemas.openxmlformats.org/markup-compatibility/2006">
          <mc:Choice Requires="x14">
            <control shapeId="3086" r:id="rId16" name="Button 14">
              <controlPr defaultSize="0" print="0" autoFill="0" autoPict="0" macro="[0]!Add_Media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087" r:id="rId17" name="Button 15">
              <controlPr defaultSize="0" print="0" autoFill="0" autoPict="0" macro="[0]!Add_Media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088" r:id="rId18" name="Button 16">
              <controlPr defaultSize="0" print="0" autoFill="0" autoPict="0" macro="[0]!Add_Media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089" r:id="rId19" name="Button 17">
              <controlPr defaultSize="0" print="0" autoFill="0" autoPict="0" macro="[0]!Add_Media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090" r:id="rId20" name="Button 18">
              <controlPr defaultSize="0" print="0" autoFill="0" autoPict="0" macro="[0]!Add_Media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091" r:id="rId21" name="Button 19">
              <controlPr defaultSize="0" print="0" autoFill="0" autoPict="0" macro="[0]!Add_Media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092" r:id="rId22" name="Button 20">
              <controlPr defaultSize="0" print="0" autoFill="0" autoPict="0" macro="[0]!Add_Media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093" r:id="rId23" name="Button 21">
              <controlPr defaultSize="0" print="0" autoFill="0" autoPict="0" macro="[0]!Add_Media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094" r:id="rId24" name="Button 22">
              <controlPr defaultSize="0" print="0" autoFill="0" autoPict="0" macro="[0]!Add_Media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095" r:id="rId25" name="Button 23">
              <controlPr defaultSize="0" print="0" autoFill="0" autoPict="0" macro="[0]!Add_Media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096" r:id="rId26" name="Button 24">
              <controlPr defaultSize="0" print="0" autoFill="0" autoPict="0" macro="[0]!Add_Media_12">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097" r:id="rId27" name="Button 25">
              <controlPr defaultSize="0" print="0" autoFill="0" autoPict="0" macro="[0]!Add_Media_1">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098" r:id="rId28" name="Button 26">
              <controlPr defaultSize="0" print="0" autoFill="0" autoPict="0" macro="[0]!Add_Media_1">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099" r:id="rId29" name="Button 27">
              <controlPr defaultSize="0" print="0" autoFill="0" autoPict="0" macro="[0]!Add_Media_1">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00" r:id="rId30" name="Button 28">
              <controlPr defaultSize="0" print="0" autoFill="0" autoPict="0" macro="[0]!Add_Media_1">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01" r:id="rId31" name="Button 29">
              <controlPr defaultSize="0" print="0" autoFill="0" autoPict="0" macro="[0]!Add_Media_1">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02" r:id="rId32" name="Button 30">
              <controlPr defaultSize="0" print="0" autoFill="0" autoPict="0" macro="[0]!Add_Media_1">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03" r:id="rId33" name="Button 31">
              <controlPr defaultSize="0" print="0" autoFill="0" autoPict="0" macro="[0]!Add_Media_1">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04" r:id="rId34" name="Button 32">
              <controlPr defaultSize="0" print="0" autoFill="0" autoPict="0" macro="[0]!Add_Media_1">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05" r:id="rId35" name="Button 33">
              <controlPr defaultSize="0" print="0" autoFill="0" autoPict="0" macro="[0]!Add_Media_1">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06" r:id="rId36" name="Button 34">
              <controlPr defaultSize="0" print="0" autoFill="0" autoPict="0" macro="[0]!Add_Media_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07" r:id="rId37" name="Button 35">
              <controlPr defaultSize="0" print="0" autoFill="0" autoPict="0" macro="[0]!Add_Media_1">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108" r:id="rId38" name="Button 36">
              <controlPr defaultSize="0" print="0" autoFill="0" autoPict="0" macro="[0]!Add_Environment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109" r:id="rId39" name="Button 37">
              <controlPr defaultSize="0" print="0" autoFill="0" autoPict="0" macro="[0]!Add_Environment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110" r:id="rId40" name="Button 38">
              <controlPr defaultSize="0" print="0" autoFill="0" autoPict="0" macro="[0]!Add_Environment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11" r:id="rId41" name="Button 39">
              <controlPr defaultSize="0" print="0" autoFill="0" autoPict="0" macro="[0]!Add_Environment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12" r:id="rId42" name="Button 40">
              <controlPr defaultSize="0" print="0" autoFill="0" autoPict="0" macro="[0]!Add_Environment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13" r:id="rId43" name="Button 41">
              <controlPr defaultSize="0" print="0" autoFill="0" autoPict="0" macro="[0]!Add_Environment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14" r:id="rId44" name="Button 42">
              <controlPr defaultSize="0" print="0" autoFill="0" autoPict="0" macro="[0]!Add_Environment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15" r:id="rId45" name="Button 43">
              <controlPr defaultSize="0" print="0" autoFill="0" autoPict="0" macro="[0]!Add_Environment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16" r:id="rId46" name="Button 44">
              <controlPr defaultSize="0" print="0" autoFill="0" autoPict="0" macro="[0]!Add_Environment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17" r:id="rId47" name="Button 45">
              <controlPr defaultSize="0" print="0" autoFill="0" autoPict="0" macro="[0]!Add_Environment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18" r:id="rId48" name="Button 46">
              <controlPr defaultSize="0" print="0" autoFill="0" autoPict="0" macro="[0]!Add_Environment_12">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119" r:id="rId49" name="Button 47">
              <controlPr defaultSize="0" print="0" autoFill="0" autoPict="0" macro="[0]!Add_Environment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120" r:id="rId50" name="Button 48">
              <controlPr defaultSize="0" print="0" autoFill="0" autoPict="0" macro="[0]!Add_Environment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121" r:id="rId51" name="Button 49">
              <controlPr defaultSize="0" print="0" autoFill="0" autoPict="0" macro="[0]!Add_Environment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22" r:id="rId52" name="Button 50">
              <controlPr defaultSize="0" print="0" autoFill="0" autoPict="0" macro="[0]!Add_Environment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23" r:id="rId53" name="Button 51">
              <controlPr defaultSize="0" print="0" autoFill="0" autoPict="0" macro="[0]!Add_Environment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24" r:id="rId54" name="Button 52">
              <controlPr defaultSize="0" print="0" autoFill="0" autoPict="0" macro="[0]!Add_Environment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25" r:id="rId55" name="Button 53">
              <controlPr defaultSize="0" print="0" autoFill="0" autoPict="0" macro="[0]!Add_Environment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26" r:id="rId56" name="Button 54">
              <controlPr defaultSize="0" print="0" autoFill="0" autoPict="0" macro="[0]!Add_Environment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27" r:id="rId57" name="Button 55">
              <controlPr defaultSize="0" print="0" autoFill="0" autoPict="0" macro="[0]!Add_Environment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28" r:id="rId58" name="Button 56">
              <controlPr defaultSize="0" print="0" autoFill="0" autoPict="0" macro="[0]!Add_Environment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29" r:id="rId59" name="Button 57">
              <controlPr defaultSize="0" print="0" autoFill="0" autoPict="0" macro="[0]!Add_Environment_12">
                <anchor moveWithCells="1" sizeWithCells="1">
                  <from>
                    <xdr:col>7</xdr:col>
                    <xdr:colOff>3810</xdr:colOff>
                    <xdr:row>12</xdr:row>
                    <xdr:rowOff>7620</xdr:rowOff>
                  </from>
                  <to>
                    <xdr:col>8</xdr:col>
                    <xdr:colOff>7620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18307-742F-4C7D-95A4-3EA12871A11A}">
  <sheetPr codeName="Sheet4"/>
  <dimension ref="A1:M31"/>
  <sheetViews>
    <sheetView workbookViewId="0">
      <selection activeCell="G14" sqref="G14"/>
    </sheetView>
  </sheetViews>
  <sheetFormatPr defaultRowHeight="14.4" x14ac:dyDescent="0.55000000000000004"/>
  <cols>
    <col min="10" max="10" width="10.3125" customWidth="1"/>
  </cols>
  <sheetData>
    <row r="1" spans="1:13" x14ac:dyDescent="0.55000000000000004">
      <c r="B1">
        <v>1</v>
      </c>
      <c r="C1">
        <v>2</v>
      </c>
      <c r="D1">
        <v>3</v>
      </c>
      <c r="E1">
        <v>4</v>
      </c>
      <c r="F1">
        <v>5</v>
      </c>
      <c r="G1">
        <v>6</v>
      </c>
      <c r="H1">
        <v>7</v>
      </c>
      <c r="I1">
        <v>8</v>
      </c>
      <c r="J1">
        <v>9</v>
      </c>
      <c r="K1">
        <v>10</v>
      </c>
      <c r="L1">
        <v>11</v>
      </c>
      <c r="M1">
        <v>12</v>
      </c>
    </row>
    <row r="2" spans="1:13" x14ac:dyDescent="0.55000000000000004">
      <c r="A2" t="s">
        <v>8</v>
      </c>
      <c r="B2" t="str">
        <f>StrainList!B17&amp;MediaList!B17&amp;Environment!B17</f>
        <v/>
      </c>
      <c r="C2" t="str">
        <f>StrainList!C17&amp;MediaList!C17&amp;Environment!C17</f>
        <v/>
      </c>
      <c r="D2" t="str">
        <f>StrainList!D17&amp;MediaList!D17&amp;Environment!D17</f>
        <v/>
      </c>
      <c r="E2" t="str">
        <f>StrainList!E17&amp;MediaList!E17&amp;Environment!E17</f>
        <v/>
      </c>
      <c r="F2" t="str">
        <f>StrainList!F17&amp;MediaList!F17&amp;Environment!F17</f>
        <v/>
      </c>
      <c r="G2" t="str">
        <f>StrainList!G17&amp;MediaList!G17&amp;Environment!G17</f>
        <v/>
      </c>
      <c r="H2" t="str">
        <f>StrainList!H17&amp;MediaList!H17&amp;Environment!H17</f>
        <v/>
      </c>
      <c r="I2" t="str">
        <f>StrainList!I17&amp;MediaList!I17&amp;Environment!I17</f>
        <v/>
      </c>
      <c r="J2" t="str">
        <f>StrainList!J17&amp;MediaList!J17&amp;Environment!J17</f>
        <v/>
      </c>
      <c r="K2" t="str">
        <f>StrainList!K17&amp;MediaList!K17&amp;Environment!K17</f>
        <v/>
      </c>
      <c r="L2" t="str">
        <f>StrainList!L17&amp;MediaList!L17&amp;Environment!L17</f>
        <v/>
      </c>
      <c r="M2" t="str">
        <f>StrainList!M17&amp;MediaList!M17&amp;Environment!M17</f>
        <v/>
      </c>
    </row>
    <row r="3" spans="1:13" x14ac:dyDescent="0.55000000000000004">
      <c r="A3" t="s">
        <v>9</v>
      </c>
      <c r="B3" t="str">
        <f>StrainList!B18&amp;MediaList!B18&amp;Environment!B18</f>
        <v/>
      </c>
      <c r="C3" t="str">
        <f>StrainList!C18&amp;MediaList!C18&amp;Environment!C18</f>
        <v/>
      </c>
      <c r="D3" t="str">
        <f>StrainList!D18&amp;MediaList!D18&amp;Environment!D18</f>
        <v/>
      </c>
      <c r="E3" t="str">
        <f>StrainList!E18&amp;MediaList!E18&amp;Environment!E18</f>
        <v/>
      </c>
      <c r="F3" t="str">
        <f>StrainList!F18&amp;MediaList!F18&amp;Environment!F18</f>
        <v/>
      </c>
      <c r="G3" t="str">
        <f>StrainList!G18&amp;MediaList!G18&amp;Environment!G18</f>
        <v/>
      </c>
      <c r="H3" t="str">
        <f>StrainList!H18&amp;MediaList!H18&amp;Environment!H18</f>
        <v/>
      </c>
      <c r="I3" t="str">
        <f>StrainList!I18&amp;MediaList!I18&amp;Environment!I18</f>
        <v/>
      </c>
      <c r="J3" t="str">
        <f>StrainList!J18&amp;MediaList!J18&amp;Environment!J18</f>
        <v/>
      </c>
      <c r="K3" t="str">
        <f>StrainList!K18&amp;MediaList!K18&amp;Environment!K18</f>
        <v/>
      </c>
      <c r="L3" t="str">
        <f>StrainList!L18&amp;MediaList!L18&amp;Environment!L18</f>
        <v/>
      </c>
      <c r="M3" t="str">
        <f>StrainList!M18&amp;MediaList!M18&amp;Environment!M18</f>
        <v/>
      </c>
    </row>
    <row r="4" spans="1:13" x14ac:dyDescent="0.55000000000000004">
      <c r="A4" t="s">
        <v>10</v>
      </c>
      <c r="B4" t="str">
        <f>StrainList!B19&amp;MediaList!B19&amp;Environment!B19</f>
        <v/>
      </c>
      <c r="C4" t="str">
        <f>StrainList!C19&amp;MediaList!C19&amp;Environment!C19</f>
        <v/>
      </c>
      <c r="D4" t="str">
        <f>StrainList!D19&amp;MediaList!D19&amp;Environment!D19</f>
        <v/>
      </c>
      <c r="E4" t="str">
        <f>StrainList!E19&amp;MediaList!E19&amp;Environment!E19</f>
        <v/>
      </c>
      <c r="F4" t="str">
        <f>StrainList!F19&amp;MediaList!F19&amp;Environment!F19</f>
        <v/>
      </c>
      <c r="G4" t="str">
        <f>StrainList!G19&amp;MediaList!G19&amp;Environment!G19</f>
        <v/>
      </c>
      <c r="H4" t="str">
        <f>StrainList!H19&amp;MediaList!H19&amp;Environment!H19</f>
        <v/>
      </c>
      <c r="I4" t="str">
        <f>StrainList!I19&amp;MediaList!I19&amp;Environment!I19</f>
        <v/>
      </c>
      <c r="J4" t="str">
        <f>StrainList!J19&amp;MediaList!J19&amp;Environment!J19</f>
        <v/>
      </c>
      <c r="K4" t="str">
        <f>StrainList!K19&amp;MediaList!K19&amp;Environment!K19</f>
        <v/>
      </c>
      <c r="L4" t="str">
        <f>StrainList!L19&amp;MediaList!L19&amp;Environment!L19</f>
        <v/>
      </c>
      <c r="M4" t="str">
        <f>StrainList!M19&amp;MediaList!M19&amp;Environment!M19</f>
        <v/>
      </c>
    </row>
    <row r="5" spans="1:13" x14ac:dyDescent="0.55000000000000004">
      <c r="A5" t="s">
        <v>11</v>
      </c>
      <c r="B5" t="str">
        <f>StrainList!B20&amp;MediaList!B20&amp;Environment!B20</f>
        <v/>
      </c>
      <c r="C5" t="str">
        <f>StrainList!C20&amp;MediaList!C20&amp;Environment!C20</f>
        <v/>
      </c>
      <c r="D5" t="str">
        <f>StrainList!D20&amp;MediaList!D20&amp;Environment!D20</f>
        <v/>
      </c>
      <c r="E5" t="str">
        <f>StrainList!E20&amp;MediaList!E20&amp;Environment!E20</f>
        <v/>
      </c>
      <c r="F5" t="str">
        <f>StrainList!F20&amp;MediaList!F20&amp;Environment!F20</f>
        <v/>
      </c>
      <c r="G5" t="str">
        <f>StrainList!G20&amp;MediaList!G20&amp;Environment!G20</f>
        <v/>
      </c>
      <c r="H5" t="str">
        <f>StrainList!H20&amp;MediaList!H20&amp;Environment!H20</f>
        <v/>
      </c>
      <c r="I5" t="str">
        <f>StrainList!I20&amp;MediaList!I20&amp;Environment!I20</f>
        <v/>
      </c>
      <c r="J5" t="str">
        <f>StrainList!J20&amp;MediaList!J20&amp;Environment!J20</f>
        <v/>
      </c>
      <c r="K5" t="str">
        <f>StrainList!K20&amp;MediaList!K20&amp;Environment!K20</f>
        <v/>
      </c>
      <c r="L5" t="str">
        <f>StrainList!L20&amp;MediaList!L20&amp;Environment!L20</f>
        <v/>
      </c>
      <c r="M5" t="str">
        <f>StrainList!M20&amp;MediaList!M20&amp;Environment!M20</f>
        <v/>
      </c>
    </row>
    <row r="6" spans="1:13" x14ac:dyDescent="0.55000000000000004">
      <c r="A6" t="s">
        <v>12</v>
      </c>
      <c r="B6" t="str">
        <f>StrainList!B21&amp;MediaList!B21&amp;Environment!B21</f>
        <v/>
      </c>
      <c r="C6" t="str">
        <f>StrainList!C21&amp;MediaList!C21&amp;Environment!C21</f>
        <v/>
      </c>
      <c r="D6" t="str">
        <f>StrainList!D21&amp;MediaList!D21&amp;Environment!D21</f>
        <v/>
      </c>
      <c r="E6" t="str">
        <f>StrainList!E21&amp;MediaList!E21&amp;Environment!E21</f>
        <v/>
      </c>
      <c r="F6" t="str">
        <f>StrainList!F21&amp;MediaList!F21&amp;Environment!F21</f>
        <v/>
      </c>
      <c r="G6" t="str">
        <f>StrainList!G21&amp;MediaList!G21&amp;Environment!G21</f>
        <v/>
      </c>
      <c r="H6" t="str">
        <f>StrainList!H21&amp;MediaList!H21&amp;Environment!H21</f>
        <v/>
      </c>
      <c r="I6" t="str">
        <f>StrainList!I21&amp;MediaList!I21&amp;Environment!I21</f>
        <v/>
      </c>
      <c r="J6" t="str">
        <f>StrainList!J21&amp;MediaList!J21&amp;Environment!J21</f>
        <v/>
      </c>
      <c r="K6" t="str">
        <f>StrainList!K21&amp;MediaList!K21&amp;Environment!K21</f>
        <v/>
      </c>
      <c r="L6" t="str">
        <f>StrainList!L21&amp;MediaList!L21&amp;Environment!L21</f>
        <v/>
      </c>
      <c r="M6" t="str">
        <f>StrainList!M21&amp;MediaList!M21&amp;Environment!M21</f>
        <v/>
      </c>
    </row>
    <row r="7" spans="1:13" x14ac:dyDescent="0.55000000000000004">
      <c r="A7" t="s">
        <v>13</v>
      </c>
      <c r="B7" t="str">
        <f>StrainList!B22&amp;MediaList!B22&amp;Environment!B22</f>
        <v/>
      </c>
      <c r="C7" t="str">
        <f>StrainList!C22&amp;MediaList!C22&amp;Environment!C22</f>
        <v/>
      </c>
      <c r="D7" t="str">
        <f>StrainList!D22&amp;MediaList!D22&amp;Environment!D22</f>
        <v/>
      </c>
      <c r="E7" t="str">
        <f>StrainList!E22&amp;MediaList!E22&amp;Environment!E22</f>
        <v/>
      </c>
      <c r="F7" t="str">
        <f>StrainList!F22&amp;MediaList!F22&amp;Environment!F22</f>
        <v/>
      </c>
      <c r="G7" t="str">
        <f>StrainList!G22&amp;MediaList!G22&amp;Environment!G22</f>
        <v/>
      </c>
      <c r="H7" t="str">
        <f>StrainList!H22&amp;MediaList!H22&amp;Environment!H22</f>
        <v/>
      </c>
      <c r="I7" t="str">
        <f>StrainList!I22&amp;MediaList!I22&amp;Environment!I22</f>
        <v/>
      </c>
      <c r="J7" t="str">
        <f>StrainList!J22&amp;MediaList!J22&amp;Environment!J22</f>
        <v/>
      </c>
      <c r="K7" t="str">
        <f>StrainList!K22&amp;MediaList!K22&amp;Environment!K22</f>
        <v/>
      </c>
      <c r="L7" t="str">
        <f>StrainList!L22&amp;MediaList!L22&amp;Environment!L22</f>
        <v/>
      </c>
      <c r="M7" t="str">
        <f>StrainList!M22&amp;MediaList!M22&amp;Environment!M22</f>
        <v/>
      </c>
    </row>
    <row r="8" spans="1:13" x14ac:dyDescent="0.55000000000000004">
      <c r="A8" t="s">
        <v>5</v>
      </c>
      <c r="B8" t="str">
        <f>StrainList!B23&amp;MediaList!B23&amp;Environment!B23</f>
        <v/>
      </c>
      <c r="C8" t="str">
        <f>StrainList!C23&amp;MediaList!C23&amp;Environment!C23</f>
        <v/>
      </c>
      <c r="D8" t="str">
        <f>StrainList!D23&amp;MediaList!D23&amp;Environment!D23</f>
        <v/>
      </c>
      <c r="E8" t="str">
        <f>StrainList!E23&amp;MediaList!E23&amp;Environment!E23</f>
        <v/>
      </c>
      <c r="F8" t="str">
        <f>StrainList!F23&amp;MediaList!F23&amp;Environment!F23</f>
        <v/>
      </c>
      <c r="G8" t="str">
        <f>StrainList!G23&amp;MediaList!G23&amp;Environment!G23</f>
        <v/>
      </c>
      <c r="H8" t="str">
        <f>StrainList!H23&amp;MediaList!H23&amp;Environment!H23</f>
        <v/>
      </c>
      <c r="I8" t="str">
        <f>StrainList!I23&amp;MediaList!I23&amp;Environment!I23</f>
        <v/>
      </c>
      <c r="J8" t="str">
        <f>StrainList!J23&amp;MediaList!J23&amp;Environment!J23</f>
        <v/>
      </c>
      <c r="K8" t="str">
        <f>StrainList!K23&amp;MediaList!K23&amp;Environment!K23</f>
        <v/>
      </c>
      <c r="L8" t="str">
        <f>StrainList!L23&amp;MediaList!L23&amp;Environment!L23</f>
        <v/>
      </c>
      <c r="M8" t="str">
        <f>StrainList!M23&amp;MediaList!M23&amp;Environment!M23</f>
        <v/>
      </c>
    </row>
    <row r="9" spans="1:13" x14ac:dyDescent="0.55000000000000004">
      <c r="A9" t="s">
        <v>14</v>
      </c>
      <c r="B9" t="str">
        <f>StrainList!B24&amp;MediaList!B24&amp;Environment!B24</f>
        <v/>
      </c>
      <c r="C9" t="str">
        <f>StrainList!C24&amp;MediaList!C24&amp;Environment!C24</f>
        <v/>
      </c>
      <c r="D9" t="str">
        <f>StrainList!D24&amp;MediaList!D24&amp;Environment!D24</f>
        <v/>
      </c>
      <c r="E9" t="str">
        <f>StrainList!E24&amp;MediaList!E24&amp;Environment!E24</f>
        <v/>
      </c>
      <c r="F9" t="str">
        <f>StrainList!F24&amp;MediaList!F24&amp;Environment!F24</f>
        <v/>
      </c>
      <c r="G9" t="str">
        <f>StrainList!G24&amp;MediaList!G24&amp;Environment!G24</f>
        <v/>
      </c>
      <c r="H9" t="str">
        <f>StrainList!H24&amp;MediaList!H24&amp;Environment!H24</f>
        <v/>
      </c>
      <c r="I9" t="str">
        <f>StrainList!I24&amp;MediaList!I24&amp;Environment!I24</f>
        <v/>
      </c>
      <c r="J9" t="str">
        <f>StrainList!J24&amp;MediaList!J24&amp;Environment!J24</f>
        <v/>
      </c>
      <c r="K9" t="str">
        <f>StrainList!K24&amp;MediaList!K24&amp;Environment!K24</f>
        <v/>
      </c>
      <c r="L9" t="str">
        <f>StrainList!L24&amp;MediaList!L24&amp;Environment!L24</f>
        <v/>
      </c>
      <c r="M9" t="str">
        <f>StrainList!M24&amp;MediaList!M24&amp;Environment!M24</f>
        <v/>
      </c>
    </row>
    <row r="10" spans="1:13" x14ac:dyDescent="0.55000000000000004">
      <c r="B10">
        <v>1</v>
      </c>
      <c r="C10">
        <v>2</v>
      </c>
      <c r="D10">
        <v>3</v>
      </c>
      <c r="E10">
        <v>4</v>
      </c>
      <c r="F10">
        <v>5</v>
      </c>
      <c r="G10">
        <v>6</v>
      </c>
      <c r="H10">
        <v>7</v>
      </c>
      <c r="I10">
        <v>8</v>
      </c>
      <c r="J10">
        <v>9</v>
      </c>
      <c r="K10">
        <v>10</v>
      </c>
      <c r="L10">
        <v>11</v>
      </c>
      <c r="M10">
        <v>12</v>
      </c>
    </row>
    <row r="11" spans="1:13" x14ac:dyDescent="0.55000000000000004">
      <c r="A11" t="s">
        <v>8</v>
      </c>
      <c r="B11" t="str">
        <f>IF(B2&lt;&gt;"",COUNTIF($B$2:B2,B2),"")</f>
        <v/>
      </c>
      <c r="C11" t="str">
        <f>IF(C2&lt;&gt;"",COUNTIF($B$2:C2,C2),"")</f>
        <v/>
      </c>
      <c r="D11" t="str">
        <f>IF(D2&lt;&gt;"",COUNTIF($B$2:D2,D2),"")</f>
        <v/>
      </c>
      <c r="E11" t="str">
        <f>IF(E2&lt;&gt;"",COUNTIF($B$2:E2,E2),"")</f>
        <v/>
      </c>
      <c r="F11" t="str">
        <f>IF(F2&lt;&gt;"",COUNTIF($B$2:F2,F2),"")</f>
        <v/>
      </c>
      <c r="G11" t="str">
        <f>IF(G2&lt;&gt;"",COUNTIF($B$2:G2,G2),"")</f>
        <v/>
      </c>
      <c r="H11" t="str">
        <f>IF(H2&lt;&gt;"",COUNTIF($B$2:H2,H2),"")</f>
        <v/>
      </c>
      <c r="I11" t="str">
        <f>IF(I2&lt;&gt;"",COUNTIF($B$2:I2,I2),"")</f>
        <v/>
      </c>
      <c r="J11" t="str">
        <f>IF(J2&lt;&gt;"",COUNTIF($B$2:J2,J2),"")</f>
        <v/>
      </c>
      <c r="K11" t="str">
        <f>IF(K2&lt;&gt;"",COUNTIF($B$2:K2,K2),"")</f>
        <v/>
      </c>
      <c r="L11" t="str">
        <f>IF(L2&lt;&gt;"",COUNTIF($B$2:L2,L2),"")</f>
        <v/>
      </c>
      <c r="M11" t="str">
        <f>IF(M2&lt;&gt;"",COUNTIF($B$2:M2,M2),"")</f>
        <v/>
      </c>
    </row>
    <row r="12" spans="1:13" x14ac:dyDescent="0.55000000000000004">
      <c r="A12" t="s">
        <v>9</v>
      </c>
      <c r="B12" t="str">
        <f>IF(B3&lt;&gt;"",COUNTIF($B$2:$M$2,B3)+COUNTIF($B$3:B3,B3),"")</f>
        <v/>
      </c>
      <c r="C12" t="str">
        <f>IF(C3&lt;&gt;"",COUNTIF($B$2:$M$2,C3)+COUNTIF($B$3:C3,C3),"")</f>
        <v/>
      </c>
      <c r="D12" t="str">
        <f>IF(D3&lt;&gt;"",COUNTIF($B$2:$M$2,D3)+COUNTIF($B$3:D3,D3),"")</f>
        <v/>
      </c>
      <c r="E12" t="str">
        <f>IF(E3&lt;&gt;"",COUNTIF($B$2:$M$2,E3)+COUNTIF($B$3:E3,E3),"")</f>
        <v/>
      </c>
      <c r="F12" t="str">
        <f>IF(F3&lt;&gt;"",COUNTIF($B$2:$M$2,F3)+COUNTIF($B$3:F3,F3),"")</f>
        <v/>
      </c>
      <c r="G12" t="str">
        <f>IF(G3&lt;&gt;"",COUNTIF($B$2:$M$2,G3)+COUNTIF($B$3:G3,G3),"")</f>
        <v/>
      </c>
      <c r="H12" t="str">
        <f>IF(H3&lt;&gt;"",COUNTIF($B$2:$M$2,H3)+COUNTIF($B$3:H3,H3),"")</f>
        <v/>
      </c>
      <c r="I12" t="str">
        <f>IF(I3&lt;&gt;"",COUNTIF($B$2:$M$2,I3)+COUNTIF($B$3:I3,I3),"")</f>
        <v/>
      </c>
      <c r="J12" t="str">
        <f>IF(J3&lt;&gt;"",COUNTIF($B$2:$M$2,J3)+COUNTIF($B$3:J3,J3),"")</f>
        <v/>
      </c>
      <c r="K12" t="str">
        <f>IF(K3&lt;&gt;"",COUNTIF($B$2:$M$2,K3)+COUNTIF($B$3:K3,K3),"")</f>
        <v/>
      </c>
      <c r="L12" t="str">
        <f>IF(L3&lt;&gt;"",COUNTIF($B$2:$M$2,L3)+COUNTIF($B$3:L3,L3),"")</f>
        <v/>
      </c>
      <c r="M12" t="str">
        <f>IF(M3&lt;&gt;"",COUNTIF($B$2:$M$2,M3)+COUNTIF($B$3:M3,M3),"")</f>
        <v/>
      </c>
    </row>
    <row r="13" spans="1:13" x14ac:dyDescent="0.55000000000000004">
      <c r="A13" t="s">
        <v>10</v>
      </c>
      <c r="B13" t="str">
        <f>IF(B4&lt;&gt;"",COUNTIF($B$2:$M$3,B4)+COUNTIF($B$4:B4,B4),"")</f>
        <v/>
      </c>
      <c r="C13" t="str">
        <f>IF(C4&lt;&gt;"",COUNTIF($B$2:$M$3,C4)+COUNTIF($B$4:C4,C4),"")</f>
        <v/>
      </c>
      <c r="D13" t="str">
        <f>IF(D4&lt;&gt;"",COUNTIF($B$2:$M$3,D4)+COUNTIF($B$4:D4,D4),"")</f>
        <v/>
      </c>
      <c r="E13" t="str">
        <f>IF(E4&lt;&gt;"",COUNTIF($B$2:$M$3,E4)+COUNTIF($B$4:E4,E4),"")</f>
        <v/>
      </c>
      <c r="F13" t="str">
        <f>IF(F4&lt;&gt;"",COUNTIF($B$2:$M$3,F4)+COUNTIF($B$4:F4,F4),"")</f>
        <v/>
      </c>
      <c r="G13" t="str">
        <f>IF(G4&lt;&gt;"",COUNTIF($B$2:$M$3,G4)+COUNTIF($B$4:G4,G4),"")</f>
        <v/>
      </c>
      <c r="H13" t="str">
        <f>IF(H4&lt;&gt;"",COUNTIF($B$2:$M$3,H4)+COUNTIF($B$4:H4,H4),"")</f>
        <v/>
      </c>
      <c r="I13" t="str">
        <f>IF(I4&lt;&gt;"",COUNTIF($B$2:$M$3,I4)+COUNTIF($B$4:I4,I4),"")</f>
        <v/>
      </c>
      <c r="J13" t="str">
        <f>IF(J4&lt;&gt;"",COUNTIF($B$2:$M$3,J4)+COUNTIF($B$4:J4,J4),"")</f>
        <v/>
      </c>
      <c r="K13" t="str">
        <f>IF(K4&lt;&gt;"",COUNTIF($B$2:$M$3,K4)+COUNTIF($B$4:K4,K4),"")</f>
        <v/>
      </c>
      <c r="L13" t="str">
        <f>IF(L4&lt;&gt;"",COUNTIF($B$2:$M$3,L4)+COUNTIF($B$4:L4,L4),"")</f>
        <v/>
      </c>
      <c r="M13" t="str">
        <f>IF(M4&lt;&gt;"",COUNTIF($B$2:$M$3,M4)+COUNTIF($B$4:M4,M4),"")</f>
        <v/>
      </c>
    </row>
    <row r="14" spans="1:13" x14ac:dyDescent="0.55000000000000004">
      <c r="A14" t="s">
        <v>11</v>
      </c>
      <c r="B14" t="str">
        <f>IF(B5&lt;&gt;"",COUNTIF($B$2:$M$4,B5)+COUNTIF($B$5:B5,B5),"")</f>
        <v/>
      </c>
      <c r="C14" t="str">
        <f>IF(C5&lt;&gt;"",COUNTIF($B$2:$M$4,C5)+COUNTIF($B$5:C5,C5),"")</f>
        <v/>
      </c>
      <c r="D14" t="str">
        <f>IF(D5&lt;&gt;"",COUNTIF($B$2:$M$4,D5)+COUNTIF($B$5:D5,D5),"")</f>
        <v/>
      </c>
      <c r="E14" t="str">
        <f>IF(E5&lt;&gt;"",COUNTIF($B$2:$M$4,E5)+COUNTIF($B$5:E5,E5),"")</f>
        <v/>
      </c>
      <c r="F14" t="str">
        <f>IF(F5&lt;&gt;"",COUNTIF($B$2:$M$4,F5)+COUNTIF($B$5:F5,F5),"")</f>
        <v/>
      </c>
      <c r="G14" t="str">
        <f>IF(G5&lt;&gt;"",COUNTIF($B$2:$M$4,G5)+COUNTIF($B$5:G5,G5),"")</f>
        <v/>
      </c>
      <c r="H14" t="str">
        <f>IF(H5&lt;&gt;"",COUNTIF($B$2:$M$4,H5)+COUNTIF($B$5:H5,H5),"")</f>
        <v/>
      </c>
      <c r="I14" t="str">
        <f>IF(I5&lt;&gt;"",COUNTIF($B$2:$M$4,I5)+COUNTIF($B$5:I5,I5),"")</f>
        <v/>
      </c>
      <c r="J14" t="str">
        <f>IF(J5&lt;&gt;"",COUNTIF($B$2:$M$4,J5)+COUNTIF($B$5:J5,J5),"")</f>
        <v/>
      </c>
      <c r="K14" t="str">
        <f>IF(K5&lt;&gt;"",COUNTIF($B$2:$M$4,K5)+COUNTIF($B$5:K5,K5),"")</f>
        <v/>
      </c>
      <c r="L14" t="str">
        <f>IF(L5&lt;&gt;"",COUNTIF($B$2:$M$4,L5)+COUNTIF($B$5:L5,L5),"")</f>
        <v/>
      </c>
      <c r="M14" t="str">
        <f>IF(M5&lt;&gt;"",COUNTIF($B$2:$M$4,M5)+COUNTIF($B$5:M5,M5),"")</f>
        <v/>
      </c>
    </row>
    <row r="15" spans="1:13" x14ac:dyDescent="0.55000000000000004">
      <c r="A15" t="s">
        <v>12</v>
      </c>
      <c r="B15" t="str">
        <f>IF(B6&lt;&gt;"",COUNTIF($B$2:$M$5,B6)+COUNTIF($B$6:B6,B6),"")</f>
        <v/>
      </c>
      <c r="C15" t="str">
        <f>IF(C6&lt;&gt;"",COUNTIF($B$2:$M$5,C6)+COUNTIF($B$6:C6,C6),"")</f>
        <v/>
      </c>
      <c r="D15" t="str">
        <f>IF(D6&lt;&gt;"",COUNTIF($B$2:$M$5,D6)+COUNTIF($B$6:D6,D6),"")</f>
        <v/>
      </c>
      <c r="E15" t="str">
        <f>IF(E6&lt;&gt;"",COUNTIF($B$2:$M$5,E6)+COUNTIF($B$6:E6,E6),"")</f>
        <v/>
      </c>
      <c r="F15" t="str">
        <f>IF(F6&lt;&gt;"",COUNTIF($B$2:$M$5,F6)+COUNTIF($B$6:F6,F6),"")</f>
        <v/>
      </c>
      <c r="G15" t="str">
        <f>IF(G6&lt;&gt;"",COUNTIF($B$2:$M$5,G6)+COUNTIF($B$6:G6,G6),"")</f>
        <v/>
      </c>
      <c r="H15" t="str">
        <f>IF(H6&lt;&gt;"",COUNTIF($B$2:$M$5,H6)+COUNTIF($B$6:H6,H6),"")</f>
        <v/>
      </c>
      <c r="I15" t="str">
        <f>IF(I6&lt;&gt;"",COUNTIF($B$2:$M$5,I6)+COUNTIF($B$6:I6,I6),"")</f>
        <v/>
      </c>
      <c r="J15" t="str">
        <f>IF(J6&lt;&gt;"",COUNTIF($B$2:$M$5,J6)+COUNTIF($B$6:J6,J6),"")</f>
        <v/>
      </c>
      <c r="K15" t="str">
        <f>IF(K6&lt;&gt;"",COUNTIF($B$2:$M$5,K6)+COUNTIF($B$6:K6,K6),"")</f>
        <v/>
      </c>
      <c r="L15" t="str">
        <f>IF(L6&lt;&gt;"",COUNTIF($B$2:$M$5,L6)+COUNTIF($B$6:L6,L6),"")</f>
        <v/>
      </c>
      <c r="M15" t="str">
        <f>IF(M6&lt;&gt;"",COUNTIF($B$2:$M$5,M6)+COUNTIF($B$6:M6,M6),"")</f>
        <v/>
      </c>
    </row>
    <row r="16" spans="1:13" x14ac:dyDescent="0.55000000000000004">
      <c r="A16" t="s">
        <v>13</v>
      </c>
      <c r="B16" t="str">
        <f>IF(B7&lt;&gt;"",COUNTIF($B$2:$M$6,B7)+COUNTIF($B$7:B7,B7),"")</f>
        <v/>
      </c>
      <c r="C16" t="str">
        <f>IF(C7&lt;&gt;"",COUNTIF($B$2:$M$6,C7)+COUNTIF($B$7:C7,C7),"")</f>
        <v/>
      </c>
      <c r="D16" t="str">
        <f>IF(D7&lt;&gt;"",COUNTIF($B$2:$M$6,D7)+COUNTIF($B$7:D7,D7),"")</f>
        <v/>
      </c>
      <c r="E16" t="str">
        <f>IF(E7&lt;&gt;"",COUNTIF($B$2:$M$6,E7)+COUNTIF($B$7:E7,E7),"")</f>
        <v/>
      </c>
      <c r="F16" t="str">
        <f>IF(F7&lt;&gt;"",COUNTIF($B$2:$M$6,F7)+COUNTIF($B$7:F7,F7),"")</f>
        <v/>
      </c>
      <c r="G16" t="str">
        <f>IF(G7&lt;&gt;"",COUNTIF($B$2:$M$6,G7)+COUNTIF($B$7:G7,G7),"")</f>
        <v/>
      </c>
      <c r="H16" t="str">
        <f>IF(H7&lt;&gt;"",COUNTIF($B$2:$M$6,H7)+COUNTIF($B$7:H7,H7),"")</f>
        <v/>
      </c>
      <c r="I16" t="str">
        <f>IF(I7&lt;&gt;"",COUNTIF($B$2:$M$6,I7)+COUNTIF($B$7:I7,I7),"")</f>
        <v/>
      </c>
      <c r="J16" t="str">
        <f>IF(J7&lt;&gt;"",COUNTIF($B$2:$M$6,J7)+COUNTIF($B$7:J7,J7),"")</f>
        <v/>
      </c>
      <c r="K16" t="str">
        <f>IF(K7&lt;&gt;"",COUNTIF($B$2:$M$6,K7)+COUNTIF($B$7:K7,K7),"")</f>
        <v/>
      </c>
      <c r="L16" t="str">
        <f>IF(L7&lt;&gt;"",COUNTIF($B$2:$M$6,L7)+COUNTIF($B$7:L7,L7),"")</f>
        <v/>
      </c>
      <c r="M16" t="str">
        <f>IF(M7&lt;&gt;"",COUNTIF($B$2:$M$6,M7)+COUNTIF($B$7:M7,M7),"")</f>
        <v/>
      </c>
    </row>
    <row r="17" spans="1:13" x14ac:dyDescent="0.55000000000000004">
      <c r="A17" t="s">
        <v>5</v>
      </c>
      <c r="B17" t="str">
        <f>IF(B8&lt;&gt;"",COUNTIF($B$2:$M$7,B8)+COUNTIF($B$8:B8,B8),"")</f>
        <v/>
      </c>
      <c r="C17" t="str">
        <f>IF(C8&lt;&gt;"",COUNTIF($B$2:$M$7,C8)+COUNTIF($B$8:C8,C8),"")</f>
        <v/>
      </c>
      <c r="D17" t="str">
        <f>IF(D8&lt;&gt;"",COUNTIF($B$2:$M$7,D8)+COUNTIF($B$8:D8,D8),"")</f>
        <v/>
      </c>
      <c r="E17" t="str">
        <f>IF(E8&lt;&gt;"",COUNTIF($B$2:$M$7,E8)+COUNTIF($B$8:E8,E8),"")</f>
        <v/>
      </c>
      <c r="F17" t="str">
        <f>IF(F8&lt;&gt;"",COUNTIF($B$2:$M$7,F8)+COUNTIF($B$8:F8,F8),"")</f>
        <v/>
      </c>
      <c r="G17" t="str">
        <f>IF(G8&lt;&gt;"",COUNTIF($B$2:$M$7,G8)+COUNTIF($B$8:G8,G8),"")</f>
        <v/>
      </c>
      <c r="H17" t="str">
        <f>IF(H8&lt;&gt;"",COUNTIF($B$2:$M$7,H8)+COUNTIF($B$8:H8,H8),"")</f>
        <v/>
      </c>
      <c r="I17" t="str">
        <f>IF(I8&lt;&gt;"",COUNTIF($B$2:$M$7,I8)+COUNTIF($B$8:I8,I8),"")</f>
        <v/>
      </c>
      <c r="J17" t="str">
        <f>IF(J8&lt;&gt;"",COUNTIF($B$2:$M$7,J8)+COUNTIF($B$8:J8,J8),"")</f>
        <v/>
      </c>
      <c r="K17" t="str">
        <f>IF(K8&lt;&gt;"",COUNTIF($B$2:$M$7,K8)+COUNTIF($B$8:K8,K8),"")</f>
        <v/>
      </c>
      <c r="L17" t="str">
        <f>IF(L8&lt;&gt;"",COUNTIF($B$2:$M$7,L8)+COUNTIF($B$8:L8,L8),"")</f>
        <v/>
      </c>
      <c r="M17" t="str">
        <f>IF(M8&lt;&gt;"",COUNTIF($B$2:$M$7,M8)+COUNTIF($B$8:M8,M8),"")</f>
        <v/>
      </c>
    </row>
    <row r="18" spans="1:13" x14ac:dyDescent="0.55000000000000004">
      <c r="A18" t="s">
        <v>14</v>
      </c>
      <c r="B18" t="str">
        <f>IF(B9&lt;&gt;"",COUNTIF($B$2:$M$8,B9)+COUNTIF($B$9:B9,B9),"")</f>
        <v/>
      </c>
      <c r="C18" t="str">
        <f>IF(C9&lt;&gt;"",COUNTIF($B$2:$M$8,C9)+COUNTIF($B$9:C9,C9),"")</f>
        <v/>
      </c>
      <c r="D18" t="str">
        <f>IF(D9&lt;&gt;"",COUNTIF($B$2:$M$8,D9)+COUNTIF($B$9:D9,D9),"")</f>
        <v/>
      </c>
      <c r="E18" t="str">
        <f>IF(E9&lt;&gt;"",COUNTIF($B$2:$M$8,E9)+COUNTIF($B$9:E9,E9),"")</f>
        <v/>
      </c>
      <c r="F18" t="str">
        <f>IF(F9&lt;&gt;"",COUNTIF($B$2:$M$8,F9)+COUNTIF($B$9:F9,F9),"")</f>
        <v/>
      </c>
      <c r="G18" t="str">
        <f>IF(G9&lt;&gt;"",COUNTIF($B$2:$M$8,G9)+COUNTIF($B$9:G9,G9),"")</f>
        <v/>
      </c>
      <c r="H18" t="str">
        <f>IF(H9&lt;&gt;"",COUNTIF($B$2:$M$8,H9)+COUNTIF($B$9:H9,H9),"")</f>
        <v/>
      </c>
      <c r="I18" t="str">
        <f>IF(I9&lt;&gt;"",COUNTIF($B$2:$M$8,I9)+COUNTIF($B$9:I9,I9),"")</f>
        <v/>
      </c>
      <c r="J18" t="str">
        <f>IF(J9&lt;&gt;"",COUNTIF($B$2:$M$8,J9)+COUNTIF($B$9:J9,J9),"")</f>
        <v/>
      </c>
      <c r="K18" t="str">
        <f>IF(K9&lt;&gt;"",COUNTIF($B$2:$M$8,K9)+COUNTIF($B$9:K9,K9),"")</f>
        <v/>
      </c>
      <c r="L18" t="str">
        <f>IF(L9&lt;&gt;"",COUNTIF($B$2:$M$8,L9)+COUNTIF($B$9:L9,L9),"")</f>
        <v/>
      </c>
      <c r="M18" t="str">
        <f>IF(M9&lt;&gt;"",COUNTIF($B$2:$M$8,M9)+COUNTIF($B$9:M9,M9),"")</f>
        <v/>
      </c>
    </row>
    <row r="22" spans="1:13" ht="30.6" x14ac:dyDescent="1.1000000000000001">
      <c r="A22" s="8" t="s">
        <v>32</v>
      </c>
    </row>
    <row r="23" spans="1:13" x14ac:dyDescent="0.55000000000000004">
      <c r="B23">
        <v>1</v>
      </c>
      <c r="C23">
        <v>2</v>
      </c>
      <c r="D23">
        <v>3</v>
      </c>
      <c r="E23">
        <v>4</v>
      </c>
      <c r="F23">
        <v>5</v>
      </c>
      <c r="G23">
        <v>6</v>
      </c>
      <c r="H23">
        <v>7</v>
      </c>
      <c r="I23">
        <v>8</v>
      </c>
      <c r="J23">
        <v>9</v>
      </c>
      <c r="K23">
        <v>10</v>
      </c>
      <c r="L23">
        <v>11</v>
      </c>
      <c r="M23">
        <v>12</v>
      </c>
    </row>
    <row r="24" spans="1:13" x14ac:dyDescent="0.55000000000000004">
      <c r="A24" t="s">
        <v>8</v>
      </c>
      <c r="B24" t="str">
        <f>IF(B2&lt;&gt;"",B2&amp;"|rep:"&amp;B11,"")</f>
        <v/>
      </c>
      <c r="C24" t="str">
        <f t="shared" ref="C24:M24" si="0">IF(C2&lt;&gt;"",C2&amp;"|rep:"&amp;C11,"")</f>
        <v/>
      </c>
      <c r="D24" t="str">
        <f t="shared" si="0"/>
        <v/>
      </c>
      <c r="E24" t="str">
        <f t="shared" si="0"/>
        <v/>
      </c>
      <c r="F24" t="str">
        <f t="shared" si="0"/>
        <v/>
      </c>
      <c r="G24" t="str">
        <f t="shared" si="0"/>
        <v/>
      </c>
      <c r="H24" t="str">
        <f t="shared" si="0"/>
        <v/>
      </c>
      <c r="I24" t="str">
        <f t="shared" si="0"/>
        <v/>
      </c>
      <c r="J24" t="str">
        <f t="shared" si="0"/>
        <v/>
      </c>
      <c r="K24" t="str">
        <f t="shared" si="0"/>
        <v/>
      </c>
      <c r="L24" t="str">
        <f t="shared" si="0"/>
        <v/>
      </c>
      <c r="M24" t="str">
        <f t="shared" si="0"/>
        <v/>
      </c>
    </row>
    <row r="25" spans="1:13" x14ac:dyDescent="0.55000000000000004">
      <c r="A25" t="s">
        <v>9</v>
      </c>
      <c r="B25" t="str">
        <f t="shared" ref="B25:M25" si="1">IF(B3&lt;&gt;"",B3&amp;"|rep:"&amp;B12,"")</f>
        <v/>
      </c>
      <c r="C25" t="str">
        <f t="shared" si="1"/>
        <v/>
      </c>
      <c r="D25" t="str">
        <f t="shared" si="1"/>
        <v/>
      </c>
      <c r="E25" t="str">
        <f t="shared" si="1"/>
        <v/>
      </c>
      <c r="F25" t="str">
        <f t="shared" si="1"/>
        <v/>
      </c>
      <c r="G25" t="str">
        <f t="shared" si="1"/>
        <v/>
      </c>
      <c r="H25" t="str">
        <f t="shared" si="1"/>
        <v/>
      </c>
      <c r="I25" t="str">
        <f t="shared" si="1"/>
        <v/>
      </c>
      <c r="J25" t="str">
        <f t="shared" si="1"/>
        <v/>
      </c>
      <c r="K25" t="str">
        <f t="shared" si="1"/>
        <v/>
      </c>
      <c r="L25" t="str">
        <f t="shared" si="1"/>
        <v/>
      </c>
      <c r="M25" t="str">
        <f t="shared" si="1"/>
        <v/>
      </c>
    </row>
    <row r="26" spans="1:13" x14ac:dyDescent="0.55000000000000004">
      <c r="A26" t="s">
        <v>10</v>
      </c>
      <c r="B26" t="str">
        <f t="shared" ref="B26:M26" si="2">IF(B4&lt;&gt;"",B4&amp;"|rep:"&amp;B13,"")</f>
        <v/>
      </c>
      <c r="C26" t="str">
        <f t="shared" si="2"/>
        <v/>
      </c>
      <c r="D26" t="str">
        <f t="shared" si="2"/>
        <v/>
      </c>
      <c r="E26" t="str">
        <f t="shared" si="2"/>
        <v/>
      </c>
      <c r="F26" t="str">
        <f t="shared" si="2"/>
        <v/>
      </c>
      <c r="G26" t="str">
        <f t="shared" si="2"/>
        <v/>
      </c>
      <c r="H26" t="str">
        <f t="shared" si="2"/>
        <v/>
      </c>
      <c r="I26" t="str">
        <f t="shared" si="2"/>
        <v/>
      </c>
      <c r="J26" t="str">
        <f t="shared" si="2"/>
        <v/>
      </c>
      <c r="K26" t="str">
        <f t="shared" si="2"/>
        <v/>
      </c>
      <c r="L26" t="str">
        <f t="shared" si="2"/>
        <v/>
      </c>
      <c r="M26" t="str">
        <f t="shared" si="2"/>
        <v/>
      </c>
    </row>
    <row r="27" spans="1:13" x14ac:dyDescent="0.55000000000000004">
      <c r="A27" t="s">
        <v>11</v>
      </c>
      <c r="B27" t="str">
        <f t="shared" ref="B27:M27" si="3">IF(B5&lt;&gt;"",B5&amp;"|rep:"&amp;B14,"")</f>
        <v/>
      </c>
      <c r="C27" t="str">
        <f t="shared" si="3"/>
        <v/>
      </c>
      <c r="D27" t="str">
        <f t="shared" si="3"/>
        <v/>
      </c>
      <c r="E27" t="str">
        <f t="shared" si="3"/>
        <v/>
      </c>
      <c r="F27" t="str">
        <f t="shared" si="3"/>
        <v/>
      </c>
      <c r="G27" t="str">
        <f t="shared" si="3"/>
        <v/>
      </c>
      <c r="H27" t="str">
        <f t="shared" si="3"/>
        <v/>
      </c>
      <c r="I27" t="str">
        <f t="shared" si="3"/>
        <v/>
      </c>
      <c r="J27" t="str">
        <f t="shared" si="3"/>
        <v/>
      </c>
      <c r="K27" t="str">
        <f t="shared" si="3"/>
        <v/>
      </c>
      <c r="L27" t="str">
        <f t="shared" si="3"/>
        <v/>
      </c>
      <c r="M27" t="str">
        <f t="shared" si="3"/>
        <v/>
      </c>
    </row>
    <row r="28" spans="1:13" x14ac:dyDescent="0.55000000000000004">
      <c r="A28" t="s">
        <v>12</v>
      </c>
      <c r="B28" t="str">
        <f t="shared" ref="B28:M28" si="4">IF(B6&lt;&gt;"",B6&amp;"|rep:"&amp;B15,"")</f>
        <v/>
      </c>
      <c r="C28" t="str">
        <f t="shared" si="4"/>
        <v/>
      </c>
      <c r="D28" t="str">
        <f t="shared" si="4"/>
        <v/>
      </c>
      <c r="E28" t="str">
        <f t="shared" si="4"/>
        <v/>
      </c>
      <c r="F28" t="str">
        <f t="shared" si="4"/>
        <v/>
      </c>
      <c r="G28" t="str">
        <f t="shared" si="4"/>
        <v/>
      </c>
      <c r="H28" t="str">
        <f t="shared" si="4"/>
        <v/>
      </c>
      <c r="I28" t="str">
        <f t="shared" si="4"/>
        <v/>
      </c>
      <c r="J28" t="str">
        <f t="shared" si="4"/>
        <v/>
      </c>
      <c r="K28" t="str">
        <f t="shared" si="4"/>
        <v/>
      </c>
      <c r="L28" t="str">
        <f t="shared" si="4"/>
        <v/>
      </c>
      <c r="M28" t="str">
        <f t="shared" si="4"/>
        <v/>
      </c>
    </row>
    <row r="29" spans="1:13" x14ac:dyDescent="0.55000000000000004">
      <c r="A29" t="s">
        <v>13</v>
      </c>
      <c r="B29" t="str">
        <f t="shared" ref="B29:M29" si="5">IF(B7&lt;&gt;"",B7&amp;"|rep:"&amp;B16,"")</f>
        <v/>
      </c>
      <c r="C29" t="str">
        <f t="shared" si="5"/>
        <v/>
      </c>
      <c r="D29" t="str">
        <f t="shared" si="5"/>
        <v/>
      </c>
      <c r="E29" t="str">
        <f t="shared" si="5"/>
        <v/>
      </c>
      <c r="F29" t="str">
        <f t="shared" si="5"/>
        <v/>
      </c>
      <c r="G29" t="str">
        <f t="shared" si="5"/>
        <v/>
      </c>
      <c r="H29" t="str">
        <f t="shared" si="5"/>
        <v/>
      </c>
      <c r="I29" t="str">
        <f t="shared" si="5"/>
        <v/>
      </c>
      <c r="J29" t="str">
        <f t="shared" si="5"/>
        <v/>
      </c>
      <c r="K29" t="str">
        <f t="shared" si="5"/>
        <v/>
      </c>
      <c r="L29" t="str">
        <f t="shared" si="5"/>
        <v/>
      </c>
      <c r="M29" t="str">
        <f t="shared" si="5"/>
        <v/>
      </c>
    </row>
    <row r="30" spans="1:13" x14ac:dyDescent="0.55000000000000004">
      <c r="A30" t="s">
        <v>5</v>
      </c>
      <c r="B30" t="str">
        <f t="shared" ref="B30:M30" si="6">IF(B8&lt;&gt;"",B8&amp;"|rep:"&amp;B17,"")</f>
        <v/>
      </c>
      <c r="C30" t="str">
        <f t="shared" si="6"/>
        <v/>
      </c>
      <c r="D30" t="str">
        <f t="shared" si="6"/>
        <v/>
      </c>
      <c r="E30" t="str">
        <f t="shared" si="6"/>
        <v/>
      </c>
      <c r="F30" t="str">
        <f t="shared" si="6"/>
        <v/>
      </c>
      <c r="G30" t="str">
        <f t="shared" si="6"/>
        <v/>
      </c>
      <c r="H30" t="str">
        <f t="shared" si="6"/>
        <v/>
      </c>
      <c r="I30" t="str">
        <f t="shared" si="6"/>
        <v/>
      </c>
      <c r="J30" t="str">
        <f t="shared" si="6"/>
        <v/>
      </c>
      <c r="K30" t="str">
        <f t="shared" si="6"/>
        <v/>
      </c>
      <c r="L30" t="str">
        <f t="shared" si="6"/>
        <v/>
      </c>
      <c r="M30" t="str">
        <f t="shared" si="6"/>
        <v/>
      </c>
    </row>
    <row r="31" spans="1:13" x14ac:dyDescent="0.55000000000000004">
      <c r="A31" t="s">
        <v>14</v>
      </c>
      <c r="B31" t="str">
        <f t="shared" ref="B31:M31" si="7">IF(B9&lt;&gt;"",B9&amp;"|rep:"&amp;B18,"")</f>
        <v/>
      </c>
      <c r="C31" t="str">
        <f t="shared" si="7"/>
        <v/>
      </c>
      <c r="D31" t="str">
        <f t="shared" si="7"/>
        <v/>
      </c>
      <c r="E31" t="str">
        <f t="shared" si="7"/>
        <v/>
      </c>
      <c r="F31" t="str">
        <f t="shared" si="7"/>
        <v/>
      </c>
      <c r="G31" t="str">
        <f t="shared" si="7"/>
        <v/>
      </c>
      <c r="H31" t="str">
        <f t="shared" si="7"/>
        <v/>
      </c>
      <c r="I31" t="str">
        <f t="shared" si="7"/>
        <v/>
      </c>
      <c r="J31" t="str">
        <f t="shared" si="7"/>
        <v/>
      </c>
      <c r="K31" t="str">
        <f t="shared" si="7"/>
        <v/>
      </c>
      <c r="L31" t="str">
        <f t="shared" si="7"/>
        <v/>
      </c>
      <c r="M31" t="str">
        <f t="shared" si="7"/>
        <v/>
      </c>
    </row>
  </sheetData>
  <sheetProtection sheet="1" objects="1" scenarios="1" selectLockedCells="1" selectUnlockedCells="1"/>
  <protectedRanges>
    <protectedRange sqref="B24:M31" name="Range2"/>
    <protectedRange sqref="B2:M9" name="Range1"/>
  </protectedRange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5754B-97F8-4531-8D2F-0AC8926C71CA}">
  <sheetPr codeName="Sheet5"/>
  <dimension ref="A1:M8"/>
  <sheetViews>
    <sheetView workbookViewId="0">
      <selection activeCell="F15" sqref="F15"/>
    </sheetView>
  </sheetViews>
  <sheetFormatPr defaultRowHeight="14.4" x14ac:dyDescent="0.55000000000000004"/>
  <cols>
    <col min="7" max="7" width="8.20703125" customWidth="1"/>
  </cols>
  <sheetData>
    <row r="1" spans="1:13" x14ac:dyDescent="0.55000000000000004">
      <c r="A1" s="11" t="str">
        <f>IF(ISBLANK(ReplicatePrep!B24),"",ReplicatePrep!B24)</f>
        <v/>
      </c>
      <c r="B1" s="11" t="str">
        <f>IF(ISBLANK(ReplicatePrep!C24),"",ReplicatePrep!C24)</f>
        <v/>
      </c>
      <c r="C1" s="11" t="str">
        <f>IF(ISBLANK(ReplicatePrep!D24),"",ReplicatePrep!D24)</f>
        <v/>
      </c>
      <c r="D1" s="11" t="str">
        <f>IF(ISBLANK(ReplicatePrep!E24),"",ReplicatePrep!E24)</f>
        <v/>
      </c>
      <c r="E1" s="11" t="str">
        <f>IF(ISBLANK(ReplicatePrep!F24),"",ReplicatePrep!F24)</f>
        <v/>
      </c>
      <c r="F1" s="11" t="str">
        <f>IF(ISBLANK(ReplicatePrep!G24),"",ReplicatePrep!G24)</f>
        <v/>
      </c>
      <c r="G1" s="11" t="str">
        <f>IF(ISBLANK(ReplicatePrep!H24),"",ReplicatePrep!H24)</f>
        <v/>
      </c>
      <c r="H1" s="11" t="str">
        <f>IF(ISBLANK(ReplicatePrep!I24),"",ReplicatePrep!I24)</f>
        <v/>
      </c>
      <c r="I1" s="11" t="str">
        <f>IF(ISBLANK(ReplicatePrep!J24),"",ReplicatePrep!J24)</f>
        <v/>
      </c>
      <c r="J1" s="11" t="str">
        <f>IF(ISBLANK(ReplicatePrep!K24),"",ReplicatePrep!K24)</f>
        <v/>
      </c>
      <c r="K1" s="11" t="str">
        <f>IF(ISBLANK(ReplicatePrep!L24),"",ReplicatePrep!L24)</f>
        <v/>
      </c>
      <c r="L1" s="12" t="str">
        <f>IF(ISBLANK(ReplicatePrep!M24),"",ReplicatePrep!M24)</f>
        <v/>
      </c>
      <c r="M1" s="13"/>
    </row>
    <row r="2" spans="1:13" x14ac:dyDescent="0.55000000000000004">
      <c r="A2" s="11" t="str">
        <f>IF(ISBLANK(ReplicatePrep!B25),"",ReplicatePrep!B25)</f>
        <v/>
      </c>
      <c r="B2" s="11" t="str">
        <f>IF(ISBLANK(ReplicatePrep!C25),"",ReplicatePrep!C25)</f>
        <v/>
      </c>
      <c r="C2" s="11" t="str">
        <f>IF(ISBLANK(ReplicatePrep!D25),"",ReplicatePrep!D25)</f>
        <v/>
      </c>
      <c r="D2" s="11" t="str">
        <f>IF(ISBLANK(ReplicatePrep!E25),"",ReplicatePrep!E25)</f>
        <v/>
      </c>
      <c r="E2" s="11" t="str">
        <f>IF(ISBLANK(ReplicatePrep!F25),"",ReplicatePrep!F25)</f>
        <v/>
      </c>
      <c r="F2" s="11" t="str">
        <f>IF(ISBLANK(ReplicatePrep!G25),"",ReplicatePrep!G25)</f>
        <v/>
      </c>
      <c r="G2" s="11" t="str">
        <f>IF(ISBLANK(ReplicatePrep!H25),"",ReplicatePrep!H25)</f>
        <v/>
      </c>
      <c r="H2" s="11" t="str">
        <f>IF(ISBLANK(ReplicatePrep!I25),"",ReplicatePrep!I25)</f>
        <v/>
      </c>
      <c r="I2" s="11" t="str">
        <f>IF(ISBLANK(ReplicatePrep!J25),"",ReplicatePrep!J25)</f>
        <v/>
      </c>
      <c r="J2" s="11" t="str">
        <f>IF(ISBLANK(ReplicatePrep!K25),"",ReplicatePrep!K25)</f>
        <v/>
      </c>
      <c r="K2" s="11" t="str">
        <f>IF(ISBLANK(ReplicatePrep!L25),"",ReplicatePrep!L25)</f>
        <v/>
      </c>
      <c r="L2" s="12" t="str">
        <f>IF(ISBLANK(ReplicatePrep!M25),"",ReplicatePrep!M25)</f>
        <v/>
      </c>
      <c r="M2" s="13"/>
    </row>
    <row r="3" spans="1:13" x14ac:dyDescent="0.55000000000000004">
      <c r="A3" s="11" t="str">
        <f>IF(ISBLANK(ReplicatePrep!B26),"",ReplicatePrep!B26)</f>
        <v/>
      </c>
      <c r="B3" s="11" t="str">
        <f>IF(ISBLANK(ReplicatePrep!C26),"",ReplicatePrep!C26)</f>
        <v/>
      </c>
      <c r="C3" s="11" t="str">
        <f>IF(ISBLANK(ReplicatePrep!D26),"",ReplicatePrep!D26)</f>
        <v/>
      </c>
      <c r="D3" s="11" t="str">
        <f>IF(ISBLANK(ReplicatePrep!E26),"",ReplicatePrep!E26)</f>
        <v/>
      </c>
      <c r="E3" s="11" t="str">
        <f>IF(ISBLANK(ReplicatePrep!F26),"",ReplicatePrep!F26)</f>
        <v/>
      </c>
      <c r="F3" s="11" t="str">
        <f>IF(ISBLANK(ReplicatePrep!G26),"",ReplicatePrep!G26)</f>
        <v/>
      </c>
      <c r="G3" s="11" t="str">
        <f>IF(ISBLANK(ReplicatePrep!H26),"",ReplicatePrep!H26)</f>
        <v/>
      </c>
      <c r="H3" s="11" t="str">
        <f>IF(ISBLANK(ReplicatePrep!I26),"",ReplicatePrep!I26)</f>
        <v/>
      </c>
      <c r="I3" s="11" t="str">
        <f>IF(ISBLANK(ReplicatePrep!J26),"",ReplicatePrep!J26)</f>
        <v/>
      </c>
      <c r="J3" s="11" t="str">
        <f>IF(ISBLANK(ReplicatePrep!K26),"",ReplicatePrep!K26)</f>
        <v/>
      </c>
      <c r="K3" s="11" t="str">
        <f>IF(ISBLANK(ReplicatePrep!L26),"",ReplicatePrep!L26)</f>
        <v/>
      </c>
      <c r="L3" s="12" t="str">
        <f>IF(ISBLANK(ReplicatePrep!M26),"",ReplicatePrep!M26)</f>
        <v/>
      </c>
      <c r="M3" s="13"/>
    </row>
    <row r="4" spans="1:13" x14ac:dyDescent="0.55000000000000004">
      <c r="A4" s="11" t="str">
        <f>IF(ISBLANK(ReplicatePrep!B27),"",ReplicatePrep!B27)</f>
        <v/>
      </c>
      <c r="B4" s="11" t="str">
        <f>IF(ISBLANK(ReplicatePrep!C27),"",ReplicatePrep!C27)</f>
        <v/>
      </c>
      <c r="C4" s="11" t="str">
        <f>IF(ISBLANK(ReplicatePrep!D27),"",ReplicatePrep!D27)</f>
        <v/>
      </c>
      <c r="D4" s="11" t="str">
        <f>IF(ISBLANK(ReplicatePrep!E27),"",ReplicatePrep!E27)</f>
        <v/>
      </c>
      <c r="E4" s="11" t="str">
        <f>IF(ISBLANK(ReplicatePrep!F27),"",ReplicatePrep!F27)</f>
        <v/>
      </c>
      <c r="F4" s="11" t="str">
        <f>IF(ISBLANK(ReplicatePrep!G27),"",ReplicatePrep!G27)</f>
        <v/>
      </c>
      <c r="G4" s="11" t="str">
        <f>IF(ISBLANK(ReplicatePrep!H27),"",ReplicatePrep!H27)</f>
        <v/>
      </c>
      <c r="H4" s="11" t="str">
        <f>IF(ISBLANK(ReplicatePrep!I27),"",ReplicatePrep!I27)</f>
        <v/>
      </c>
      <c r="I4" s="11" t="str">
        <f>IF(ISBLANK(ReplicatePrep!J27),"",ReplicatePrep!J27)</f>
        <v/>
      </c>
      <c r="J4" s="11" t="str">
        <f>IF(ISBLANK(ReplicatePrep!K27),"",ReplicatePrep!K27)</f>
        <v/>
      </c>
      <c r="K4" s="11" t="str">
        <f>IF(ISBLANK(ReplicatePrep!L27),"",ReplicatePrep!L27)</f>
        <v/>
      </c>
      <c r="L4" s="12" t="str">
        <f>IF(ISBLANK(ReplicatePrep!M27),"",ReplicatePrep!M27)</f>
        <v/>
      </c>
      <c r="M4" s="13"/>
    </row>
    <row r="5" spans="1:13" x14ac:dyDescent="0.55000000000000004">
      <c r="A5" s="11" t="str">
        <f>IF(ISBLANK(ReplicatePrep!B28),"",ReplicatePrep!B28)</f>
        <v/>
      </c>
      <c r="B5" s="11" t="str">
        <f>IF(ISBLANK(ReplicatePrep!C28),"",ReplicatePrep!C28)</f>
        <v/>
      </c>
      <c r="C5" s="11" t="str">
        <f>IF(ISBLANK(ReplicatePrep!D28),"",ReplicatePrep!D28)</f>
        <v/>
      </c>
      <c r="D5" s="11" t="str">
        <f>IF(ISBLANK(ReplicatePrep!E28),"",ReplicatePrep!E28)</f>
        <v/>
      </c>
      <c r="E5" s="11" t="str">
        <f>IF(ISBLANK(ReplicatePrep!F28),"",ReplicatePrep!F28)</f>
        <v/>
      </c>
      <c r="F5" s="11" t="str">
        <f>IF(ISBLANK(ReplicatePrep!G28),"",ReplicatePrep!G28)</f>
        <v/>
      </c>
      <c r="G5" s="11" t="str">
        <f>IF(ISBLANK(ReplicatePrep!H28),"",ReplicatePrep!H28)</f>
        <v/>
      </c>
      <c r="H5" s="11" t="str">
        <f>IF(ISBLANK(ReplicatePrep!I28),"",ReplicatePrep!I28)</f>
        <v/>
      </c>
      <c r="I5" s="11" t="str">
        <f>IF(ISBLANK(ReplicatePrep!J28),"",ReplicatePrep!J28)</f>
        <v/>
      </c>
      <c r="J5" s="11" t="str">
        <f>IF(ISBLANK(ReplicatePrep!K28),"",ReplicatePrep!K28)</f>
        <v/>
      </c>
      <c r="K5" s="11" t="str">
        <f>IF(ISBLANK(ReplicatePrep!L28),"",ReplicatePrep!L28)</f>
        <v/>
      </c>
      <c r="L5" s="12" t="str">
        <f>IF(ISBLANK(ReplicatePrep!M28),"",ReplicatePrep!M28)</f>
        <v/>
      </c>
      <c r="M5" s="13"/>
    </row>
    <row r="6" spans="1:13" x14ac:dyDescent="0.55000000000000004">
      <c r="A6" s="11" t="str">
        <f>IF(ISBLANK(ReplicatePrep!B29),"",ReplicatePrep!B29)</f>
        <v/>
      </c>
      <c r="B6" s="11" t="str">
        <f>IF(ISBLANK(ReplicatePrep!C29),"",ReplicatePrep!C29)</f>
        <v/>
      </c>
      <c r="C6" s="11" t="str">
        <f>IF(ISBLANK(ReplicatePrep!D29),"",ReplicatePrep!D29)</f>
        <v/>
      </c>
      <c r="D6" s="11" t="str">
        <f>IF(ISBLANK(ReplicatePrep!E29),"",ReplicatePrep!E29)</f>
        <v/>
      </c>
      <c r="E6" s="11" t="str">
        <f>IF(ISBLANK(ReplicatePrep!F29),"",ReplicatePrep!F29)</f>
        <v/>
      </c>
      <c r="F6" s="11" t="str">
        <f>IF(ISBLANK(ReplicatePrep!G29),"",ReplicatePrep!G29)</f>
        <v/>
      </c>
      <c r="G6" s="11" t="str">
        <f>IF(ISBLANK(ReplicatePrep!H29),"",ReplicatePrep!H29)</f>
        <v/>
      </c>
      <c r="H6" s="11" t="str">
        <f>IF(ISBLANK(ReplicatePrep!I29),"",ReplicatePrep!I29)</f>
        <v/>
      </c>
      <c r="I6" s="11" t="str">
        <f>IF(ISBLANK(ReplicatePrep!J29),"",ReplicatePrep!J29)</f>
        <v/>
      </c>
      <c r="J6" s="11" t="str">
        <f>IF(ISBLANK(ReplicatePrep!K29),"",ReplicatePrep!K29)</f>
        <v/>
      </c>
      <c r="K6" s="11" t="str">
        <f>IF(ISBLANK(ReplicatePrep!L29),"",ReplicatePrep!L29)</f>
        <v/>
      </c>
      <c r="L6" s="12" t="str">
        <f>IF(ISBLANK(ReplicatePrep!M29),"",ReplicatePrep!M29)</f>
        <v/>
      </c>
      <c r="M6" s="13"/>
    </row>
    <row r="7" spans="1:13" x14ac:dyDescent="0.55000000000000004">
      <c r="A7" s="11" t="str">
        <f>IF(ISBLANK(ReplicatePrep!B30),"",ReplicatePrep!B30)</f>
        <v/>
      </c>
      <c r="B7" s="11" t="str">
        <f>IF(ISBLANK(ReplicatePrep!C30),"",ReplicatePrep!C30)</f>
        <v/>
      </c>
      <c r="C7" s="11" t="str">
        <f>IF(ISBLANK(ReplicatePrep!D30),"",ReplicatePrep!D30)</f>
        <v/>
      </c>
      <c r="D7" s="11" t="str">
        <f>IF(ISBLANK(ReplicatePrep!E30),"",ReplicatePrep!E30)</f>
        <v/>
      </c>
      <c r="E7" s="11" t="str">
        <f>IF(ISBLANK(ReplicatePrep!F30),"",ReplicatePrep!F30)</f>
        <v/>
      </c>
      <c r="F7" s="11" t="str">
        <f>IF(ISBLANK(ReplicatePrep!G30),"",ReplicatePrep!G30)</f>
        <v/>
      </c>
      <c r="G7" s="11" t="str">
        <f>IF(ISBLANK(ReplicatePrep!H30),"",ReplicatePrep!H30)</f>
        <v/>
      </c>
      <c r="H7" s="11" t="str">
        <f>IF(ISBLANK(ReplicatePrep!I30),"",ReplicatePrep!I30)</f>
        <v/>
      </c>
      <c r="I7" s="11" t="str">
        <f>IF(ISBLANK(ReplicatePrep!J30),"",ReplicatePrep!J30)</f>
        <v/>
      </c>
      <c r="J7" s="11" t="str">
        <f>IF(ISBLANK(ReplicatePrep!K30),"",ReplicatePrep!K30)</f>
        <v/>
      </c>
      <c r="K7" s="11" t="str">
        <f>IF(ISBLANK(ReplicatePrep!L30),"",ReplicatePrep!L30)</f>
        <v/>
      </c>
      <c r="L7" s="12" t="str">
        <f>IF(ISBLANK(ReplicatePrep!M30),"",ReplicatePrep!M30)</f>
        <v/>
      </c>
      <c r="M7" s="13"/>
    </row>
    <row r="8" spans="1:13" x14ac:dyDescent="0.55000000000000004">
      <c r="A8" s="11" t="str">
        <f>IF(ISBLANK(ReplicatePrep!B31),"",ReplicatePrep!B31)</f>
        <v/>
      </c>
      <c r="B8" s="11" t="str">
        <f>IF(ISBLANK(ReplicatePrep!C31),"",ReplicatePrep!C31)</f>
        <v/>
      </c>
      <c r="C8" s="11" t="str">
        <f>IF(ISBLANK(ReplicatePrep!D31),"",ReplicatePrep!D31)</f>
        <v/>
      </c>
      <c r="D8" s="11" t="str">
        <f>IF(ISBLANK(ReplicatePrep!E31),"",ReplicatePrep!E31)</f>
        <v/>
      </c>
      <c r="E8" s="11" t="str">
        <f>IF(ISBLANK(ReplicatePrep!F31),"",ReplicatePrep!F31)</f>
        <v/>
      </c>
      <c r="F8" s="11" t="str">
        <f>IF(ISBLANK(ReplicatePrep!G31),"",ReplicatePrep!G31)</f>
        <v/>
      </c>
      <c r="G8" s="11" t="str">
        <f>IF(ISBLANK(ReplicatePrep!H31),"",ReplicatePrep!H31)</f>
        <v/>
      </c>
      <c r="H8" s="11" t="str">
        <f>IF(ISBLANK(ReplicatePrep!I31),"",ReplicatePrep!I31)</f>
        <v/>
      </c>
      <c r="I8" s="11" t="str">
        <f>IF(ISBLANK(ReplicatePrep!J31),"",ReplicatePrep!J31)</f>
        <v/>
      </c>
      <c r="J8" s="11" t="str">
        <f>IF(ISBLANK(ReplicatePrep!K31),"",ReplicatePrep!K31)</f>
        <v/>
      </c>
      <c r="K8" s="11" t="str">
        <f>IF(ISBLANK(ReplicatePrep!L31),"",ReplicatePrep!L31)</f>
        <v/>
      </c>
      <c r="L8" s="12" t="str">
        <f>IF(ISBLANK(ReplicatePrep!M31),"",ReplicatePrep!M31)</f>
        <v/>
      </c>
      <c r="M8" s="13"/>
    </row>
  </sheetData>
  <sheetProtection formatCell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StrainList</vt:lpstr>
      <vt:lpstr>MediaList</vt:lpstr>
      <vt:lpstr>Environment</vt:lpstr>
      <vt:lpstr>ReplicatePrep</vt:lpstr>
      <vt:lpstr>identifiers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Kaushik Raj</dc:creator>
  <cp:lastModifiedBy>Kaushik Raj</cp:lastModifiedBy>
  <dcterms:created xsi:type="dcterms:W3CDTF">2018-08-16T17:45:58Z</dcterms:created>
  <dcterms:modified xsi:type="dcterms:W3CDTF">2019-10-23T15:39:47Z</dcterms:modified>
</cp:coreProperties>
</file>